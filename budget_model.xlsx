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ХОДЫ" sheetId="1" state="visible" r:id="rId1"/>
    <sheet xmlns:r="http://schemas.openxmlformats.org/officeDocument/2006/relationships" name="ДОХОДЫ" sheetId="2" state="visible" r:id="rId2"/>
    <sheet xmlns:r="http://schemas.openxmlformats.org/officeDocument/2006/relationships" name="АНАЛИ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2"/>
    </font>
    <font>
      <i val="1"/>
      <color rgb="00666666"/>
    </font>
    <font>
      <b val="1"/>
      <sz val="11"/>
    </font>
    <font>
      <b val="1"/>
      <sz val="13"/>
    </font>
    <font>
      <b val="1"/>
      <color rgb="00FFFFFF"/>
    </font>
    <font>
      <b val="1"/>
    </font>
    <font>
      <b val="1"/>
      <sz val="12"/>
    </font>
    <font>
      <b val="1"/>
      <color rgb="00FF0000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F99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548235"/>
      </patternFill>
    </fill>
    <fill>
      <patternFill patternType="solid">
        <fgColor rgb="00BF8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pivotButton="0" quotePrefix="0" xfId="0"/>
    <xf numFmtId="1" fontId="0" fillId="3" borderId="0" pivotButton="0" quotePrefix="0" xfId="0"/>
    <xf numFmtId="9" fontId="0" fillId="3" borderId="0" pivotButton="0" quotePrefix="0" xfId="0"/>
    <xf numFmtId="0" fontId="0" fillId="3" borderId="0" pivotButton="0" quotePrefix="0" xfId="0"/>
    <xf numFmtId="0" fontId="1" fillId="2" borderId="0" applyAlignment="1" pivotButton="0" quotePrefix="0" xfId="0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0" fontId="2" fillId="0" borderId="1" pivotButton="0" quotePrefix="0" xfId="0"/>
    <xf numFmtId="9" fontId="0" fillId="0" borderId="1" pivotButton="0" quotePrefix="0" xfId="0"/>
    <xf numFmtId="0" fontId="0" fillId="4" borderId="0" pivotButton="0" quotePrefix="0" xfId="0"/>
    <xf numFmtId="0" fontId="3" fillId="4" borderId="0" pivotButton="0" quotePrefix="0" xfId="0"/>
    <xf numFmtId="3" fontId="3" fillId="4" borderId="1" pivotButton="0" quotePrefix="0" xfId="0"/>
    <xf numFmtId="0" fontId="0" fillId="5" borderId="0" pivotButton="0" quotePrefix="0" xfId="0"/>
    <xf numFmtId="0" fontId="4" fillId="5" borderId="0" pivotButton="0" quotePrefix="0" xfId="0"/>
    <xf numFmtId="3" fontId="4" fillId="5" borderId="1" pivotButton="0" quotePrefix="0" xfId="0"/>
    <xf numFmtId="0" fontId="2" fillId="0" borderId="0" pivotButton="0" quotePrefix="0" xfId="0"/>
    <xf numFmtId="9" fontId="0" fillId="5" borderId="0" pivotButton="0" quotePrefix="0" xfId="0"/>
    <xf numFmtId="1" fontId="0" fillId="0" borderId="0" pivotButton="0" quotePrefix="0" xfId="0"/>
    <xf numFmtId="0" fontId="5" fillId="6" borderId="1" applyAlignment="1" pivotButton="0" quotePrefix="0" xfId="0">
      <alignment horizontal="center" wrapText="1"/>
    </xf>
    <xf numFmtId="0" fontId="6" fillId="0" borderId="1" pivotButton="0" quotePrefix="0" xfId="0"/>
    <xf numFmtId="1" fontId="0" fillId="0" borderId="1" pivotButton="0" quotePrefix="0" xfId="0"/>
    <xf numFmtId="3" fontId="0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164" fontId="7" fillId="0" borderId="0" pivotButton="0" quotePrefix="0" xfId="0"/>
    <xf numFmtId="165" fontId="0" fillId="0" borderId="0" pivotButton="0" quotePrefix="0" xfId="0"/>
    <xf numFmtId="0" fontId="5" fillId="7" borderId="1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0" fontId="6" fillId="7" borderId="1" pivotButton="0" quotePrefix="0" xfId="0"/>
    <xf numFmtId="0" fontId="6" fillId="7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164" fontId="7" fillId="0" borderId="1" pivotButton="0" quotePrefix="0" xfId="0"/>
    <xf numFmtId="164" fontId="8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F5496"/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4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40" customWidth="1" min="11" max="11"/>
  </cols>
  <sheetData>
    <row r="1">
      <c r="A1" s="1" t="inlineStr">
        <is>
          <t>ПАРАМЕТРЫ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>
      <c r="A2" t="inlineStr">
        <is>
          <t>Число участников</t>
        </is>
      </c>
      <c r="C2" s="2" t="n">
        <v>70</v>
      </c>
    </row>
    <row r="3">
      <c r="A3" t="inlineStr">
        <is>
          <t>Доля FULL билетов</t>
        </is>
      </c>
      <c r="C3" s="3" t="n">
        <v>0.6</v>
      </c>
    </row>
    <row r="4">
      <c r="A4" t="inlineStr">
        <is>
          <t>Плательщик USt (НДС)</t>
        </is>
      </c>
      <c r="C4" s="4" t="inlineStr">
        <is>
          <t>Да</t>
        </is>
      </c>
    </row>
    <row r="6">
      <c r="A6" s="5" t="inlineStr">
        <is>
          <t>#</t>
        </is>
      </c>
      <c r="B6" s="5" t="inlineStr">
        <is>
          <t>Категория</t>
        </is>
      </c>
      <c r="C6" s="5" t="inlineStr">
        <is>
          <t>Статья</t>
        </is>
      </c>
      <c r="D6" s="5" t="inlineStr">
        <is>
          <t>Ед.</t>
        </is>
      </c>
      <c r="E6" s="5" t="inlineStr">
        <is>
          <t>Low (unit)</t>
        </is>
      </c>
      <c r="F6" s="5" t="inlineStr">
        <is>
          <t>Mid (unit)</t>
        </is>
      </c>
      <c r="G6" s="5" t="inlineStr">
        <is>
          <t>High (unit)</t>
        </is>
      </c>
      <c r="H6" s="5" t="inlineStr">
        <is>
          <t>Low (total)</t>
        </is>
      </c>
      <c r="I6" s="5" t="inlineStr">
        <is>
          <t>Mid (total)</t>
        </is>
      </c>
      <c r="J6" s="5" t="inlineStr">
        <is>
          <t>High (total)</t>
        </is>
      </c>
      <c r="K6" s="5" t="inlineStr">
        <is>
          <t>Привязка</t>
        </is>
      </c>
    </row>
    <row r="7">
      <c r="A7" s="6" t="n">
        <v>1</v>
      </c>
      <c r="B7" s="7" t="inlineStr">
        <is>
          <t>Venue</t>
        </is>
      </c>
      <c r="C7" s="7" t="inlineStr">
        <is>
          <t>Аренда Дни 1–2 (зал + breakout + Demo Zone)</t>
        </is>
      </c>
      <c r="D7" s="6" t="inlineStr">
        <is>
          <t>2 дня</t>
        </is>
      </c>
      <c r="E7" s="8" t="n">
        <v>8000</v>
      </c>
      <c r="F7" s="8" t="n">
        <v>13000</v>
      </c>
      <c r="G7" s="8" t="n">
        <v>18000</v>
      </c>
      <c r="H7" s="8">
        <f>IF('РАСХОДЫ'!$C$2&lt;=60,E7*0.85,IF('РАСХОДЫ'!$C$2&lt;=85,E7,E7*1.15))</f>
        <v/>
      </c>
      <c r="I7" s="8">
        <f>IF('РАСХОДЫ'!$C$2&lt;=60,F7*0.85,IF('РАСХОДЫ'!$C$2&lt;=85,F7,F7*1.15))</f>
        <v/>
      </c>
      <c r="J7" s="8">
        <f>IF('РАСХОДЫ'!$C$2&lt;=60,G7*0.85,IF('РАСХОДЫ'!$C$2&lt;=85,G7,G7*1.15))</f>
        <v/>
      </c>
      <c r="K7" s="9" t="inlineStr">
        <is>
          <t>≤60×0.85, &gt;60×1.0, &gt;85×1.15</t>
        </is>
      </c>
    </row>
    <row r="8">
      <c r="A8" s="6" t="n">
        <v>2</v>
      </c>
      <c r="B8" s="7" t="inlineStr">
        <is>
          <t>Venue</t>
        </is>
      </c>
      <c r="C8" s="7" t="inlineStr">
        <is>
          <t>Аренда День 3 (утренняя сессия, без breakout)</t>
        </is>
      </c>
      <c r="D8" s="6" t="inlineStr">
        <is>
          <t>1 день</t>
        </is>
      </c>
      <c r="E8" s="8" t="n">
        <v>2000</v>
      </c>
      <c r="F8" s="8" t="n">
        <v>3500</v>
      </c>
      <c r="G8" s="8" t="n">
        <v>5000</v>
      </c>
      <c r="H8" s="8">
        <f>E8</f>
        <v/>
      </c>
      <c r="I8" s="8">
        <f>F8</f>
        <v/>
      </c>
      <c r="J8" s="8">
        <f>G8</f>
        <v/>
      </c>
      <c r="K8" s="9" t="inlineStr">
        <is>
          <t>Фикс.</t>
        </is>
      </c>
    </row>
    <row r="9">
      <c r="A9" s="6" t="n">
        <v>3</v>
      </c>
      <c r="B9" s="7" t="inlineStr">
        <is>
          <t>Кейтеринг</t>
        </is>
      </c>
      <c r="C9" s="7" t="inlineStr">
        <is>
          <t>Кофе-брейки + обеды, Дни 1–2</t>
        </is>
      </c>
      <c r="D9" s="6" t="inlineStr">
        <is>
          <t>чел/день</t>
        </is>
      </c>
      <c r="E9" s="8" t="n">
        <v>35</v>
      </c>
      <c r="F9" s="8" t="n">
        <v>55</v>
      </c>
      <c r="G9" s="8" t="n">
        <v>75</v>
      </c>
      <c r="H9" s="8">
        <f>E9*'РАСХОДЫ'!$C$2*2</f>
        <v/>
      </c>
      <c r="I9" s="8">
        <f>F9*'РАСХОДЫ'!$C$2*2</f>
        <v/>
      </c>
      <c r="J9" s="8">
        <f>G9*'РАСХОДЫ'!$C$2*2</f>
        <v/>
      </c>
      <c r="K9" s="9" t="inlineStr">
        <is>
          <t>× участников × 2 дня</t>
        </is>
      </c>
    </row>
    <row r="10">
      <c r="A10" s="6" t="n">
        <v>4</v>
      </c>
      <c r="B10" s="7" t="inlineStr">
        <is>
          <t>Кейтеринг</t>
        </is>
      </c>
      <c r="C10" s="7" t="inlineStr">
        <is>
          <t>Кофе + лёгкий обед, День 3</t>
        </is>
      </c>
      <c r="D10" s="6" t="inlineStr">
        <is>
          <t>чел</t>
        </is>
      </c>
      <c r="E10" s="8" t="n">
        <v>20</v>
      </c>
      <c r="F10" s="8" t="n">
        <v>30</v>
      </c>
      <c r="G10" s="8" t="n">
        <v>40</v>
      </c>
      <c r="H10" s="8">
        <f>E10*ROUND('РАСХОДЫ'!$C$2*'РАСХОДЫ'!$C$3,0)</f>
        <v/>
      </c>
      <c r="I10" s="8">
        <f>F10*ROUND('РАСХОДЫ'!$C$2*'РАСХОДЫ'!$C$3,0)</f>
        <v/>
      </c>
      <c r="J10" s="8">
        <f>G10*ROUND('РАСХОДЫ'!$C$2*'РАСХОДЫ'!$C$3,0)</f>
        <v/>
      </c>
      <c r="K10" s="9" t="inlineStr">
        <is>
          <t>× участников FULL</t>
        </is>
      </c>
    </row>
    <row r="11">
      <c r="A11" s="6" t="n">
        <v>5</v>
      </c>
      <c r="B11" s="7" t="inlineStr">
        <is>
          <t>Ужины</t>
        </is>
      </c>
      <c r="C11" s="7" t="inlineStr">
        <is>
          <t>Групповой ужин #1 (чт, рядом с Alizée)</t>
        </is>
      </c>
      <c r="D11" s="6" t="inlineStr">
        <is>
          <t>чел</t>
        </is>
      </c>
      <c r="E11" s="8" t="n">
        <v>60</v>
      </c>
      <c r="F11" s="8" t="n">
        <v>90</v>
      </c>
      <c r="G11" s="8" t="n">
        <v>130</v>
      </c>
      <c r="H11" s="8">
        <f>E11*ROUND('РАСХОДЫ'!$C$2*'РАСХОДЫ'!$C$3,0)</f>
        <v/>
      </c>
      <c r="I11" s="8">
        <f>F11*ROUND('РАСХОДЫ'!$C$2*'РАСХОДЫ'!$C$3,0)</f>
        <v/>
      </c>
      <c r="J11" s="8">
        <f>G11*ROUND('РАСХОДЫ'!$C$2*'РАСХОДЫ'!$C$3,0)</f>
        <v/>
      </c>
      <c r="K11" s="9" t="inlineStr">
        <is>
          <t>× участников FULL</t>
        </is>
      </c>
    </row>
    <row r="12">
      <c r="A12" s="6" t="n">
        <v>6</v>
      </c>
      <c r="B12" s="7" t="inlineStr">
        <is>
          <t>Ужины</t>
        </is>
      </c>
      <c r="C12" s="7" t="inlineStr">
        <is>
          <t>Групповой ужин #2 (пт, рядом с Palast)</t>
        </is>
      </c>
      <c r="D12" s="6" t="inlineStr">
        <is>
          <t>чел</t>
        </is>
      </c>
      <c r="E12" s="8" t="n">
        <v>60</v>
      </c>
      <c r="F12" s="8" t="n">
        <v>90</v>
      </c>
      <c r="G12" s="8" t="n">
        <v>130</v>
      </c>
      <c r="H12" s="8">
        <f>E12*ROUND('РАСХОДЫ'!$C$2*'РАСХОДЫ'!$C$3,0)</f>
        <v/>
      </c>
      <c r="I12" s="8">
        <f>F12*ROUND('РАСХОДЫ'!$C$2*'РАСХОДЫ'!$C$3,0)</f>
        <v/>
      </c>
      <c r="J12" s="8">
        <f>G12*ROUND('РАСХОДЫ'!$C$2*'РАСХОДЫ'!$C$3,0)</f>
        <v/>
      </c>
      <c r="K12" s="9" t="inlineStr">
        <is>
          <t>× участников FULL</t>
        </is>
      </c>
    </row>
    <row r="13">
      <c r="A13" s="6" t="n">
        <v>7</v>
      </c>
      <c r="B13" s="7" t="inlineStr">
        <is>
          <t>Шоу</t>
        </is>
      </c>
      <c r="C13" s="7" t="inlineStr">
        <is>
          <t>Билеты Alizée (групповая скидка)</t>
        </is>
      </c>
      <c r="D13" s="6" t="inlineStr">
        <is>
          <t>чел</t>
        </is>
      </c>
      <c r="E13" s="8" t="n">
        <v>53</v>
      </c>
      <c r="F13" s="8" t="n">
        <v>75</v>
      </c>
      <c r="G13" s="8" t="n">
        <v>94</v>
      </c>
      <c r="H13" s="8">
        <f>E13*ROUND('РАСХОДЫ'!$C$2*'РАСХОДЫ'!$C$3,0)</f>
        <v/>
      </c>
      <c r="I13" s="8">
        <f>F13*ROUND('РАСХОДЫ'!$C$2*'РАСХОДЫ'!$C$3,0)</f>
        <v/>
      </c>
      <c r="J13" s="8">
        <f>G13*ROUND('РАСХОДЫ'!$C$2*'РАСХОДЫ'!$C$3,0)</f>
        <v/>
      </c>
      <c r="K13" s="9" t="inlineStr">
        <is>
          <t>× участников FULL</t>
        </is>
      </c>
    </row>
    <row r="14">
      <c r="A14" s="6" t="n">
        <v>8</v>
      </c>
      <c r="B14" s="7" t="inlineStr">
        <is>
          <t>Шоу</t>
        </is>
      </c>
      <c r="C14" s="7" t="inlineStr">
        <is>
          <t>Билеты Friedrichstadt-Palast</t>
        </is>
      </c>
      <c r="D14" s="6" t="inlineStr">
        <is>
          <t>чел</t>
        </is>
      </c>
      <c r="E14" s="8" t="n">
        <v>40</v>
      </c>
      <c r="F14" s="8" t="n">
        <v>60</v>
      </c>
      <c r="G14" s="8" t="n">
        <v>80</v>
      </c>
      <c r="H14" s="8">
        <f>E14*ROUND('РАСХОДЫ'!$C$2*'РАСХОДЫ'!$C$3,0)</f>
        <v/>
      </c>
      <c r="I14" s="8">
        <f>F14*ROUND('РАСХОДЫ'!$C$2*'РАСХОДЫ'!$C$3,0)</f>
        <v/>
      </c>
      <c r="J14" s="8">
        <f>G14*ROUND('РАСХОДЫ'!$C$2*'РАСХОДЫ'!$C$3,0)</f>
        <v/>
      </c>
      <c r="K14" s="9" t="inlineStr">
        <is>
          <t>× участников FULL</t>
        </is>
      </c>
    </row>
    <row r="15">
      <c r="A15" s="6" t="n">
        <v>9</v>
      </c>
      <c r="B15" s="7" t="inlineStr">
        <is>
          <t>AV</t>
        </is>
      </c>
      <c r="C15" s="7" t="inlineStr">
        <is>
          <t>Оборудование + техник (2 дня)</t>
        </is>
      </c>
      <c r="D15" s="6" t="inlineStr">
        <is>
          <t>комплект</t>
        </is>
      </c>
      <c r="E15" s="8" t="n">
        <v>2500</v>
      </c>
      <c r="F15" s="8" t="n">
        <v>5000</v>
      </c>
      <c r="G15" s="8" t="n">
        <v>8000</v>
      </c>
      <c r="H15" s="8">
        <f>E15</f>
        <v/>
      </c>
      <c r="I15" s="8">
        <f>F15</f>
        <v/>
      </c>
      <c r="J15" s="8">
        <f>G15</f>
        <v/>
      </c>
      <c r="K15" s="9" t="inlineStr">
        <is>
          <t>Фикс.</t>
        </is>
      </c>
    </row>
    <row r="16">
      <c r="A16" s="6" t="n">
        <v>10</v>
      </c>
      <c r="B16" s="7" t="inlineStr">
        <is>
          <t>Фасилитаторы</t>
        </is>
      </c>
      <c r="C16" s="7" t="inlineStr">
        <is>
          <t>Главный ведущий (2 дня + подготовка)</t>
        </is>
      </c>
      <c r="D16" s="6" t="inlineStr">
        <is>
          <t>чел</t>
        </is>
      </c>
      <c r="E16" s="8" t="n">
        <v>3000</v>
      </c>
      <c r="F16" s="8" t="n">
        <v>5000</v>
      </c>
      <c r="G16" s="8" t="n">
        <v>8000</v>
      </c>
      <c r="H16" s="8">
        <f>E16</f>
        <v/>
      </c>
      <c r="I16" s="8">
        <f>F16</f>
        <v/>
      </c>
      <c r="J16" s="8">
        <f>G16</f>
        <v/>
      </c>
      <c r="K16" s="9" t="inlineStr">
        <is>
          <t>Фикс.</t>
        </is>
      </c>
    </row>
    <row r="17">
      <c r="A17" s="6" t="n">
        <v>11</v>
      </c>
      <c r="B17" s="7" t="inlineStr">
        <is>
          <t>Фасилитаторы</t>
        </is>
      </c>
      <c r="C17" s="7" t="inlineStr">
        <is>
          <t>Breakout-фасилитаторы (5–6, День 2)</t>
        </is>
      </c>
      <c r="D17" s="6" t="inlineStr">
        <is>
          <t>день</t>
        </is>
      </c>
      <c r="E17" s="8" t="n">
        <v>5000</v>
      </c>
      <c r="F17" s="8" t="n">
        <v>8000</v>
      </c>
      <c r="G17" s="8" t="n">
        <v>12000</v>
      </c>
      <c r="H17" s="8">
        <f>IF('РАСХОДЫ'!$C$2&lt;=50,E17,IF('РАСХОДЫ'!$C$2&lt;=75,E17*1.2,E17*1.4))</f>
        <v/>
      </c>
      <c r="I17" s="8">
        <f>IF('РАСХОДЫ'!$C$2&lt;=50,F17,IF('РАСХОДЫ'!$C$2&lt;=75,F17*1.2,F17*1.4))</f>
        <v/>
      </c>
      <c r="J17" s="8">
        <f>IF('РАСХОДЫ'!$C$2&lt;=50,G17,IF('РАСХОДЫ'!$C$2&lt;=75,G17*1.2,G17*1.4))</f>
        <v/>
      </c>
      <c r="K17" s="9" t="inlineStr">
        <is>
          <t>Число групп зависит от участников</t>
        </is>
      </c>
    </row>
    <row r="18">
      <c r="A18" s="6" t="n">
        <v>12</v>
      </c>
      <c r="B18" s="7" t="inlineStr">
        <is>
          <t>Фото/видео</t>
        </is>
      </c>
      <c r="C18" s="7" t="inlineStr">
        <is>
          <t>Фотограф (2 дня)</t>
        </is>
      </c>
      <c r="D18" s="6" t="inlineStr">
        <is>
          <t>комплект</t>
        </is>
      </c>
      <c r="E18" s="8" t="n">
        <v>1800</v>
      </c>
      <c r="F18" s="8" t="n">
        <v>2500</v>
      </c>
      <c r="G18" s="8" t="n">
        <v>4000</v>
      </c>
      <c r="H18" s="8">
        <f>E18</f>
        <v/>
      </c>
      <c r="I18" s="8">
        <f>F18</f>
        <v/>
      </c>
      <c r="J18" s="8">
        <f>G18</f>
        <v/>
      </c>
      <c r="K18" s="9" t="inlineStr">
        <is>
          <t>Фикс.</t>
        </is>
      </c>
    </row>
    <row r="19">
      <c r="A19" s="6" t="n">
        <v>13</v>
      </c>
      <c r="B19" s="7" t="inlineStr">
        <is>
          <t>Фото/видео</t>
        </is>
      </c>
      <c r="C19" s="7" t="inlineStr">
        <is>
          <t>Видеограф + монтаж</t>
        </is>
      </c>
      <c r="D19" s="6" t="inlineStr">
        <is>
          <t>комплект</t>
        </is>
      </c>
      <c r="E19" s="8" t="n">
        <v>2000</v>
      </c>
      <c r="F19" s="8" t="n">
        <v>4000</v>
      </c>
      <c r="G19" s="8" t="n">
        <v>7000</v>
      </c>
      <c r="H19" s="8">
        <f>E19</f>
        <v/>
      </c>
      <c r="I19" s="8">
        <f>F19</f>
        <v/>
      </c>
      <c r="J19" s="8">
        <f>G19</f>
        <v/>
      </c>
      <c r="K19" s="9" t="inlineStr">
        <is>
          <t>Фикс.</t>
        </is>
      </c>
    </row>
    <row r="20">
      <c r="A20" s="6" t="n">
        <v>14</v>
      </c>
      <c r="B20" s="7" t="inlineStr">
        <is>
          <t>Печать</t>
        </is>
      </c>
      <c r="C20" s="7" t="inlineStr">
        <is>
          <t>Бейджи, карточки, баннеры, материалы</t>
        </is>
      </c>
      <c r="D20" s="6" t="inlineStr">
        <is>
          <t>комплект</t>
        </is>
      </c>
      <c r="E20" s="8" t="n">
        <v>1500</v>
      </c>
      <c r="F20" s="8" t="n">
        <v>2500</v>
      </c>
      <c r="G20" s="8" t="n">
        <v>4000</v>
      </c>
      <c r="H20" s="8">
        <f>E20*0.7+E20*0.3*'РАСХОДЫ'!$C$2/70</f>
        <v/>
      </c>
      <c r="I20" s="8">
        <f>F20*0.7+F20*0.3*'РАСХОДЫ'!$C$2/70</f>
        <v/>
      </c>
      <c r="J20" s="8">
        <f>G20*0.7+G20*0.3*'РАСХОДЫ'!$C$2/70</f>
        <v/>
      </c>
      <c r="K20" s="9" t="inlineStr">
        <is>
          <t>Частично лин. (бейджи/карточки)</t>
        </is>
      </c>
    </row>
    <row r="21">
      <c r="A21" s="6" t="n">
        <v>15</v>
      </c>
      <c r="B21" s="7" t="inlineStr">
        <is>
          <t>Транспорт</t>
        </is>
      </c>
      <c r="C21" s="7" t="inlineStr">
        <is>
          <t>Автобус(ы) трансферы, 2 вечера</t>
        </is>
      </c>
      <c r="D21" s="6" t="inlineStr">
        <is>
          <t>комплект</t>
        </is>
      </c>
      <c r="E21" s="8" t="n">
        <v>1500</v>
      </c>
      <c r="F21" s="8" t="n">
        <v>3000</v>
      </c>
      <c r="G21" s="8" t="n">
        <v>5000</v>
      </c>
      <c r="H21" s="8">
        <f>IF('РАСХОДЫ'!$C$2&lt;=50,E21,E21*2)</f>
        <v/>
      </c>
      <c r="I21" s="8">
        <f>IF('РАСХОДЫ'!$C$2&lt;=50,F21,F21*2)</f>
        <v/>
      </c>
      <c r="J21" s="8">
        <f>IF('РАСХОДЫ'!$C$2&lt;=50,G21,G21*2)</f>
        <v/>
      </c>
      <c r="K21" s="9" t="inlineStr">
        <is>
          <t>1 бус ≤50, 2 буса &gt;50</t>
        </is>
      </c>
    </row>
    <row r="22">
      <c r="A22" s="6" t="n">
        <v>16</v>
      </c>
      <c r="B22" s="7" t="inlineStr">
        <is>
          <t>Страховка</t>
        </is>
      </c>
      <c r="C22" s="7" t="inlineStr">
        <is>
          <t>Ответственность + отмена</t>
        </is>
      </c>
      <c r="D22" s="6" t="inlineStr">
        <is>
          <t>комплект</t>
        </is>
      </c>
      <c r="E22" s="8" t="n">
        <v>200</v>
      </c>
      <c r="F22" s="8" t="n">
        <v>500</v>
      </c>
      <c r="G22" s="8" t="n">
        <v>1000</v>
      </c>
      <c r="H22" s="8">
        <f>E22</f>
        <v/>
      </c>
      <c r="I22" s="8">
        <f>F22</f>
        <v/>
      </c>
      <c r="J22" s="8">
        <f>G22</f>
        <v/>
      </c>
      <c r="K22" s="9" t="inlineStr">
        <is>
          <t>Фикс.</t>
        </is>
      </c>
    </row>
    <row r="23">
      <c r="A23" s="6" t="n">
        <v>17</v>
      </c>
      <c r="B23" s="7" t="inlineStr">
        <is>
          <t>Сайт/маркетинг</t>
        </is>
      </c>
      <c r="C23" s="7" t="inlineStr">
        <is>
          <t>Лендинг, рассылки, LinkedIn, дизайн</t>
        </is>
      </c>
      <c r="D23" s="6" t="inlineStr">
        <is>
          <t>комплект</t>
        </is>
      </c>
      <c r="E23" s="8" t="n">
        <v>1500</v>
      </c>
      <c r="F23" s="8" t="n">
        <v>3000</v>
      </c>
      <c r="G23" s="8" t="n">
        <v>5000</v>
      </c>
      <c r="H23" s="8">
        <f>E23</f>
        <v/>
      </c>
      <c r="I23" s="8">
        <f>F23</f>
        <v/>
      </c>
      <c r="J23" s="8">
        <f>G23</f>
        <v/>
      </c>
      <c r="K23" s="9" t="inlineStr">
        <is>
          <t>Фикс.</t>
        </is>
      </c>
    </row>
    <row r="24">
      <c r="A24" s="6" t="n">
        <v>18</v>
      </c>
      <c r="B24" s="7" t="inlineStr">
        <is>
          <t>Команда орг.</t>
        </is>
      </c>
      <c r="C24" s="7" t="inlineStr">
        <is>
          <t>Перелёты + проживание команды (3–4 чел, 4–5 ночей)</t>
        </is>
      </c>
      <c r="D24" s="6" t="inlineStr">
        <is>
          <t>комплект</t>
        </is>
      </c>
      <c r="E24" s="8" t="n">
        <v>3000</v>
      </c>
      <c r="F24" s="8" t="n">
        <v>5000</v>
      </c>
      <c r="G24" s="8" t="n">
        <v>8000</v>
      </c>
      <c r="H24" s="8">
        <f>E24</f>
        <v/>
      </c>
      <c r="I24" s="8">
        <f>F24</f>
        <v/>
      </c>
      <c r="J24" s="8">
        <f>G24</f>
        <v/>
      </c>
      <c r="K24" s="9" t="inlineStr">
        <is>
          <t>Фикс.</t>
        </is>
      </c>
    </row>
    <row r="25">
      <c r="A25" s="6" t="n">
        <v>19</v>
      </c>
      <c r="B25" s="7" t="inlineStr">
        <is>
          <t>Тикетинг</t>
        </is>
      </c>
      <c r="C25" s="7" t="inlineStr">
        <is>
          <t>Комиссия платформы (Eventbrite/Stripe)</t>
        </is>
      </c>
      <c r="D25" s="6" t="inlineStr">
        <is>
          <t>% от выручки</t>
        </is>
      </c>
      <c r="E25" s="10" t="n">
        <v>0.03</v>
      </c>
      <c r="F25" s="10" t="n">
        <v>0.04</v>
      </c>
      <c r="G25" s="10" t="n">
        <v>0.05</v>
      </c>
      <c r="H25" s="8">
        <f>E25*'ДОХОДЫ'!$E$30</f>
        <v/>
      </c>
      <c r="I25" s="8">
        <f>F25*'ДОХОДЫ'!$E$30</f>
        <v/>
      </c>
      <c r="J25" s="8">
        <f>G25*'ДОХОДЫ'!$E$30</f>
        <v/>
      </c>
      <c r="K25" s="9" t="inlineStr">
        <is>
          <t>% от общей выручки с билетов</t>
        </is>
      </c>
    </row>
    <row r="26">
      <c r="A26" s="6" t="n">
        <v>20</v>
      </c>
      <c r="B26" s="7" t="inlineStr">
        <is>
          <t>Юрист/бух</t>
        </is>
      </c>
      <c r="C26" s="7" t="inlineStr">
        <is>
          <t>Контракты, GDPR, налоговый учёт</t>
        </is>
      </c>
      <c r="D26" s="6" t="inlineStr">
        <is>
          <t>комплект</t>
        </is>
      </c>
      <c r="E26" s="8" t="n">
        <v>1000</v>
      </c>
      <c r="F26" s="8" t="n">
        <v>2000</v>
      </c>
      <c r="G26" s="8" t="n">
        <v>3500</v>
      </c>
      <c r="H26" s="8">
        <f>E26</f>
        <v/>
      </c>
      <c r="I26" s="8">
        <f>F26</f>
        <v/>
      </c>
      <c r="J26" s="8">
        <f>G26</f>
        <v/>
      </c>
      <c r="K26" s="9" t="inlineStr">
        <is>
          <t>Фикс.</t>
        </is>
      </c>
    </row>
    <row r="27">
      <c r="A27" s="11" t="inlineStr"/>
      <c r="B27" s="11" t="inlineStr"/>
      <c r="C27" s="12" t="inlineStr">
        <is>
          <t>Промежуточный итог (стр. 1–20)</t>
        </is>
      </c>
      <c r="D27" s="11" t="n"/>
      <c r="E27" s="11" t="n"/>
      <c r="F27" s="11" t="n"/>
      <c r="G27" s="11" t="n"/>
      <c r="H27" s="13">
        <f>SUM(H7:H26)</f>
        <v/>
      </c>
      <c r="I27" s="13">
        <f>SUM(I7:I26)</f>
        <v/>
      </c>
      <c r="J27" s="13">
        <f>SUM(J7:J26)</f>
        <v/>
      </c>
      <c r="K27" s="11" t="n"/>
    </row>
    <row r="28">
      <c r="A28" s="6" t="n">
        <v>21</v>
      </c>
      <c r="B28" s="7" t="inlineStr">
        <is>
          <t>НДС (USt)</t>
        </is>
      </c>
      <c r="C28" s="7" t="inlineStr">
        <is>
          <t>19% на расходы (если не плательщик USt)</t>
        </is>
      </c>
      <c r="D28" s="6" t="inlineStr">
        <is>
          <t>%</t>
        </is>
      </c>
      <c r="E28" s="10" t="n">
        <v>0.19</v>
      </c>
      <c r="F28" s="10" t="n">
        <v>0.19</v>
      </c>
      <c r="G28" s="10" t="n">
        <v>0.19</v>
      </c>
      <c r="H28" s="8">
        <f>IF($C$4="Да",0,H27*0.15)</f>
        <v/>
      </c>
      <c r="I28" s="8">
        <f>IF($C$4="Да",0,I27*0.15)</f>
        <v/>
      </c>
      <c r="J28" s="8">
        <f>IF($C$4="Да",0,J27*0.15)</f>
        <v/>
      </c>
      <c r="K28" s="9" t="inlineStr">
        <is>
          <t>Если плательщик USt — Vorsteuer вычитается, строка = 0</t>
        </is>
      </c>
    </row>
    <row r="29">
      <c r="A29" s="6" t="n">
        <v>22</v>
      </c>
      <c r="B29" s="7" t="inlineStr">
        <is>
          <t>Прочее</t>
        </is>
      </c>
      <c r="C29" s="7" t="inlineStr">
        <is>
          <t>Непредвиденные расходы</t>
        </is>
      </c>
      <c r="D29" s="6" t="inlineStr">
        <is>
          <t>%</t>
        </is>
      </c>
      <c r="E29" s="10" t="n">
        <v>0.08</v>
      </c>
      <c r="F29" s="10" t="n">
        <v>0.1</v>
      </c>
      <c r="G29" s="10" t="n">
        <v>0.12</v>
      </c>
      <c r="H29" s="8">
        <f>E29*H27</f>
        <v/>
      </c>
      <c r="I29" s="8">
        <f>F29*I27</f>
        <v/>
      </c>
      <c r="J29" s="8">
        <f>G29*J27</f>
        <v/>
      </c>
      <c r="K29" s="9" t="inlineStr">
        <is>
          <t>% от суммы строк 1–20</t>
        </is>
      </c>
    </row>
    <row r="31">
      <c r="A31" s="14" t="n"/>
      <c r="B31" s="14" t="n"/>
      <c r="C31" s="15" t="inlineStr">
        <is>
          <t>ИТОГО РАСХОДЫ</t>
        </is>
      </c>
      <c r="D31" s="14" t="n"/>
      <c r="E31" s="14" t="n"/>
      <c r="F31" s="14" t="n"/>
      <c r="G31" s="14" t="n"/>
      <c r="H31" s="16">
        <f>H27+H28+H29</f>
        <v/>
      </c>
      <c r="I31" s="16">
        <f>I27+I28+I29</f>
        <v/>
      </c>
      <c r="J31" s="16">
        <f>J27+J28+J29</f>
        <v/>
      </c>
      <c r="K31" s="14" t="n"/>
    </row>
    <row r="33">
      <c r="A33" s="17" t="inlineStr">
        <is>
          <t>Примечание по НДС: Если EVERSEE — плательщик USt, расходы netto, доходы netto, строка НДС = 0. Если нет — НДС ~15% от суммы расходов.</t>
        </is>
      </c>
    </row>
  </sheetData>
  <mergeCells count="1">
    <mergeCell ref="A33:K3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8" customWidth="1" min="5" max="5"/>
  </cols>
  <sheetData>
    <row r="1">
      <c r="A1" s="1" t="inlineStr">
        <is>
          <t>ПАРАМЕТРЫ ДОХОДОВ</t>
        </is>
      </c>
      <c r="B1" s="1" t="n"/>
      <c r="C1" s="1" t="n"/>
      <c r="D1" s="1" t="n"/>
      <c r="E1" s="1" t="n"/>
    </row>
    <row r="2">
      <c r="A2" t="inlineStr">
        <is>
          <t>Доля Creative / Tech</t>
        </is>
      </c>
      <c r="C2" s="3" t="n">
        <v>0.6</v>
      </c>
      <c r="E2" s="17" t="inlineStr">
        <is>
          <t>60% Creative, 40% Tech</t>
        </is>
      </c>
    </row>
    <row r="3">
      <c r="A3" t="inlineStr">
        <is>
          <t>Доля Early Bird</t>
        </is>
      </c>
      <c r="C3" s="3" t="n">
        <v>0.5</v>
      </c>
    </row>
    <row r="4">
      <c r="A4" t="inlineStr">
        <is>
          <t>Доля FULL vs FORUM</t>
        </is>
      </c>
      <c r="C4" s="18">
        <f>'РАСХОДЫ'!$C$3</f>
        <v/>
      </c>
      <c r="E4" s="17" t="inlineStr">
        <is>
          <t>Связана с РАСХОДЫ!C3</t>
        </is>
      </c>
    </row>
    <row r="5">
      <c r="A5" t="inlineStr">
        <is>
          <t>Слоты Lightning Talk (продано)</t>
        </is>
      </c>
      <c r="C5" s="2" t="n">
        <v>8</v>
      </c>
      <c r="E5" s="17" t="inlineStr">
        <is>
          <t>из 12</t>
        </is>
      </c>
    </row>
    <row r="6">
      <c r="A6" t="inlineStr">
        <is>
          <t>Слоты Keynote (продано)</t>
        </is>
      </c>
      <c r="C6" s="2" t="n">
        <v>1</v>
      </c>
      <c r="E6" s="17" t="inlineStr">
        <is>
          <t>из 2</t>
        </is>
      </c>
    </row>
    <row r="7">
      <c r="A7" t="inlineStr">
        <is>
          <t>Partner пакетов</t>
        </is>
      </c>
      <c r="C7" s="2" t="n">
        <v>1</v>
      </c>
      <c r="E7" s="17" t="inlineStr">
        <is>
          <t>вкл. 2 билета TECH FULL</t>
        </is>
      </c>
    </row>
    <row r="8">
      <c r="A8" t="inlineStr">
        <is>
          <t>Strategic Partner пакетов</t>
        </is>
      </c>
      <c r="C8" s="2" t="n">
        <v>1</v>
      </c>
      <c r="E8" s="17" t="inlineStr">
        <is>
          <t>вкл. 4 билета TECH FULL</t>
        </is>
      </c>
    </row>
    <row r="9">
      <c r="A9" t="inlineStr">
        <is>
          <t>Title Partner пакетов</t>
        </is>
      </c>
      <c r="C9" s="2" t="n">
        <v>0</v>
      </c>
      <c r="E9" s="17" t="inlineStr">
        <is>
          <t>вкл. 6 билетов TECH FULL</t>
        </is>
      </c>
    </row>
    <row r="10">
      <c r="A10" t="inlineStr">
        <is>
          <t>Билеты из пакетов (TECH FULL)</t>
        </is>
      </c>
      <c r="C10" s="19">
        <f>$C$7*2+$C$8*4+$C$9*6</f>
        <v/>
      </c>
      <c r="E10" s="17" t="inlineStr">
        <is>
          <t>Вычитаются из платных TECH билетов</t>
        </is>
      </c>
    </row>
    <row r="12">
      <c r="A12" s="1" t="inlineStr">
        <is>
          <t>ДОХОДЫ ОТ БИЛЕТОВ И ПАРТНЁРОВ</t>
        </is>
      </c>
      <c r="B12" s="1" t="n"/>
      <c r="C12" s="1" t="n"/>
      <c r="D12" s="1" t="n"/>
      <c r="E12" s="1" t="n"/>
    </row>
    <row r="13">
      <c r="A13" s="20" t="inlineStr">
        <is>
          <t>Источник</t>
        </is>
      </c>
      <c r="B13" s="20" t="inlineStr">
        <is>
          <t>Кол-во (расчёт)</t>
        </is>
      </c>
      <c r="C13" s="20" t="inlineStr">
        <is>
          <t>Цена Early Bird</t>
        </is>
      </c>
      <c r="D13" s="20" t="inlineStr">
        <is>
          <t>Цена Regular (+30%)</t>
        </is>
      </c>
      <c r="E13" s="20" t="inlineStr">
        <is>
          <t>Итого</t>
        </is>
      </c>
    </row>
    <row r="14">
      <c r="A14" s="21" t="inlineStr">
        <is>
          <t>CREATIVE FORUM</t>
        </is>
      </c>
      <c r="B14" s="22">
        <f>ROUND('РАСХОДЫ'!$C$2*$C$2*(1-$C$4),0)</f>
        <v/>
      </c>
      <c r="C14" s="8" t="n">
        <v>290</v>
      </c>
      <c r="D14" s="8" t="n">
        <v>377</v>
      </c>
      <c r="E14" s="8">
        <f>B14*($C$3*C14+(1-$C$3)*D14)</f>
        <v/>
      </c>
    </row>
    <row r="15">
      <c r="A15" s="21" t="inlineStr">
        <is>
          <t>CREATIVE FULL</t>
        </is>
      </c>
      <c r="B15" s="22">
        <f>ROUND('РАСХОДЫ'!$C$2*$C$2*$C$4,0)</f>
        <v/>
      </c>
      <c r="C15" s="8" t="n">
        <v>590</v>
      </c>
      <c r="D15" s="8" t="n">
        <v>767</v>
      </c>
      <c r="E15" s="8">
        <f>B15*($C$3*C15+(1-$C$3)*D15)</f>
        <v/>
      </c>
    </row>
    <row r="16">
      <c r="A16" s="21" t="inlineStr">
        <is>
          <t>TECH FORUM</t>
        </is>
      </c>
      <c r="B16" s="22">
        <f>MAX(ROUND('РАСХОДЫ'!$C$2*(1-$C$2)*(1-$C$4),0)-0,0)</f>
        <v/>
      </c>
      <c r="C16" s="8" t="n">
        <v>490</v>
      </c>
      <c r="D16" s="8" t="n">
        <v>637</v>
      </c>
      <c r="E16" s="8">
        <f>B16*($C$3*C16+(1-$C$3)*D16)</f>
        <v/>
      </c>
    </row>
    <row r="17">
      <c r="A17" s="21" t="inlineStr">
        <is>
          <t>TECH FULL</t>
        </is>
      </c>
      <c r="B17" s="22">
        <f>MAX(ROUND('РАСХОДЫ'!$C$2*(1-$C$2)*$C$4,0)-$C$10,0)</f>
        <v/>
      </c>
      <c r="C17" s="8" t="n">
        <v>890</v>
      </c>
      <c r="D17" s="8" t="n">
        <v>1157</v>
      </c>
      <c r="E17" s="8">
        <f>B17*($C$3*C17+(1-$C$3)*D17)</f>
        <v/>
      </c>
    </row>
    <row r="19">
      <c r="A19" s="12" t="inlineStr">
        <is>
          <t>СЛОТЫ ВЫСТУПЛЕНИЙ</t>
        </is>
      </c>
      <c r="B19" s="11" t="n"/>
      <c r="C19" s="11" t="n"/>
      <c r="D19" s="11" t="n"/>
      <c r="E19" s="11" t="n"/>
    </row>
    <row r="20">
      <c r="A20" s="21" t="inlineStr">
        <is>
          <t>Lightning Talk</t>
        </is>
      </c>
      <c r="B20" s="22">
        <f>$C$5</f>
        <v/>
      </c>
      <c r="C20" s="8" t="n">
        <v>500</v>
      </c>
      <c r="D20" s="7" t="inlineStr"/>
      <c r="E20" s="8">
        <f>B20*C20</f>
        <v/>
      </c>
    </row>
    <row r="21">
      <c r="A21" s="21" t="inlineStr">
        <is>
          <t>Keynote</t>
        </is>
      </c>
      <c r="B21" s="22">
        <f>$C$6</f>
        <v/>
      </c>
      <c r="C21" s="8" t="n">
        <v>1500</v>
      </c>
      <c r="D21" s="7" t="inlineStr"/>
      <c r="E21" s="8">
        <f>B21*C21</f>
        <v/>
      </c>
    </row>
    <row r="23">
      <c r="A23" s="12" t="inlineStr">
        <is>
          <t>ПАРТНЁРСКИЕ ПАКЕТЫ</t>
        </is>
      </c>
      <c r="B23" s="11" t="n"/>
      <c r="C23" s="11" t="n"/>
      <c r="D23" s="11" t="n"/>
      <c r="E23" s="11" t="n"/>
    </row>
    <row r="24">
      <c r="A24" s="21" t="inlineStr">
        <is>
          <t>Partner</t>
        </is>
      </c>
      <c r="B24" s="22">
        <f>$C$7</f>
        <v/>
      </c>
      <c r="C24" s="8" t="n">
        <v>3000</v>
      </c>
      <c r="D24" s="7" t="inlineStr"/>
      <c r="E24" s="8">
        <f>B24*C24</f>
        <v/>
      </c>
    </row>
    <row r="25">
      <c r="A25" s="21" t="inlineStr">
        <is>
          <t>Strategic Partner</t>
        </is>
      </c>
      <c r="B25" s="22">
        <f>$C$8</f>
        <v/>
      </c>
      <c r="C25" s="8" t="n">
        <v>8000</v>
      </c>
      <c r="D25" s="7" t="inlineStr"/>
      <c r="E25" s="8">
        <f>B25*C25</f>
        <v/>
      </c>
    </row>
    <row r="26">
      <c r="A26" s="21" t="inlineStr">
        <is>
          <t>Title Partner</t>
        </is>
      </c>
      <c r="B26" s="22">
        <f>$C$9</f>
        <v/>
      </c>
      <c r="C26" s="8" t="n">
        <v>15000</v>
      </c>
      <c r="D26" s="7" t="inlineStr"/>
      <c r="E26" s="8">
        <f>B26*C26</f>
        <v/>
      </c>
    </row>
    <row r="28">
      <c r="A28" s="15" t="inlineStr">
        <is>
          <t>ИТОГО ДОХОДЫ</t>
        </is>
      </c>
      <c r="B28" s="14" t="n"/>
      <c r="C28" s="14" t="n"/>
      <c r="D28" s="14" t="n"/>
      <c r="E28" s="16">
        <f>E14+E15+E16+E17+E20+E21+E24+E25+E26</f>
        <v/>
      </c>
    </row>
    <row r="30">
      <c r="A30" t="inlineStr">
        <is>
          <t>Выручка (ссылка для расчётов)</t>
        </is>
      </c>
      <c r="E30" s="23">
        <f>E28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BF8F00"/>
    <outlinePr summaryBelow="1" summaryRight="1"/>
    <pageSetUpPr/>
  </sheetPr>
  <dimension ref="A1:F79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СВОДКА БАЗОВОГО СЦЕНАРИЯ (Mid)</t>
        </is>
      </c>
      <c r="B1" s="1" t="n"/>
      <c r="C1" s="1" t="n"/>
      <c r="D1" s="1" t="n"/>
    </row>
    <row r="3">
      <c r="A3" s="24" t="inlineStr">
        <is>
          <t>Итого расходы (Mid)</t>
        </is>
      </c>
      <c r="B3" s="23">
        <f>'РАСХОДЫ'!I31</f>
        <v/>
      </c>
    </row>
    <row r="4">
      <c r="A4" s="24" t="inlineStr">
        <is>
          <t>Итого доходы</t>
        </is>
      </c>
      <c r="B4" s="23">
        <f>'ДОХОДЫ'!E30</f>
        <v/>
      </c>
    </row>
    <row r="5">
      <c r="A5" s="24" t="inlineStr">
        <is>
          <t>Комиссия тикетинга (Mid)</t>
        </is>
      </c>
      <c r="B5" s="23">
        <f>'РАСХОДЫ'!I25</f>
        <v/>
      </c>
    </row>
    <row r="6">
      <c r="A6" s="25" t="inlineStr">
        <is>
          <t>Чистый результат</t>
        </is>
      </c>
      <c r="B6" s="26">
        <f>B4-B3</f>
        <v/>
      </c>
    </row>
    <row r="7">
      <c r="A7" s="24" t="inlineStr">
        <is>
          <t>Маржа</t>
        </is>
      </c>
      <c r="B7" s="27">
        <f>IF(B4=0,0,B6/B4)</f>
        <v/>
      </c>
    </row>
    <row r="10">
      <c r="A10" s="1" t="inlineStr">
        <is>
          <t>BREAK-EVEN АНАЛИЗ</t>
        </is>
      </c>
      <c r="B10" s="1" t="n"/>
      <c r="C10" s="1" t="n"/>
      <c r="D10" s="1" t="n"/>
      <c r="E10" s="1" t="n"/>
    </row>
    <row r="11">
      <c r="A11" s="28" t="inlineStr">
        <is>
          <t>Участников</t>
        </is>
      </c>
      <c r="B11" s="28" t="inlineStr">
        <is>
          <t>Расходы (Mid)</t>
        </is>
      </c>
      <c r="C11" s="28" t="inlineStr">
        <is>
          <t>Доходы</t>
        </is>
      </c>
      <c r="D11" s="28" t="inlineStr">
        <is>
          <t>Результат</t>
        </is>
      </c>
      <c r="E11" s="28" t="inlineStr">
        <is>
          <t>Маржа</t>
        </is>
      </c>
    </row>
    <row r="12">
      <c r="A12" s="6" t="n">
        <v>30</v>
      </c>
      <c r="B12" s="8">
        <f>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+(IF('РАСХОДЫ'!$C$4="Да",0,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0.15))+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0.1)+0.04*((ROUND(30*'ДОХОДЫ'!$C$2*(1-'РАСХОДЫ'!$C$3),0))*('ДОХОДЫ'!$C$3*290+(1-'ДОХОДЫ'!$C$3)*377)+(ROUND(30*'ДОХОДЫ'!$C$2*'РАСХОДЫ'!$C$3,0))*('ДОХОДЫ'!$C$3*590+(1-'ДОХОДЫ'!$C$3)*767)+(MAX(ROUND(30*(1-'ДОХОДЫ'!$C$2)*(1-'РАСХОДЫ'!$C$3),0),0))*('ДОХОДЫ'!$C$3*490+(1-'ДОХОДЫ'!$C$3)*637)+(MAX(ROUND(30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12" s="8">
        <f>(ROUND(30*'ДОХОДЫ'!$C$2*(1-'РАСХОДЫ'!$C$3),0))*('ДОХОДЫ'!$C$3*290+(1-'ДОХОДЫ'!$C$3)*377)+(ROUND(30*'ДОХОДЫ'!$C$2*'РАСХОДЫ'!$C$3,0))*('ДОХОДЫ'!$C$3*590+(1-'ДОХОДЫ'!$C$3)*767)+(MAX(ROUND(30*(1-'ДОХОДЫ'!$C$2)*(1-'РАСХОДЫ'!$C$3),0),0))*('ДОХОДЫ'!$C$3*490+(1-'ДОХОДЫ'!$C$3)*637)+(MAX(ROUND(30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12" s="29">
        <f>C12-B12</f>
        <v/>
      </c>
      <c r="E12" s="30">
        <f>IF(C12=0,0,D12/C12)</f>
        <v/>
      </c>
    </row>
    <row r="13">
      <c r="A13" s="6" t="n">
        <v>35</v>
      </c>
      <c r="B13" s="8">
        <f>((IF(35&lt;=60,13000*0.85,IF(35&lt;=85,13000,13000*1.15)))+3500+55*35*2+30*ROUND(35*'РАСХОДЫ'!$C$3,0)+90*ROUND(35*'РАСХОДЫ'!$C$3,0)+90*ROUND(35*'РАСХОДЫ'!$C$3,0)+75*ROUND(35*'РАСХОДЫ'!$C$3,0)+60*ROUND(35*'РАСХОДЫ'!$C$3,0)+5000+5000+(IF(35&lt;=50,8000,IF(35&lt;=75,8000*1.2,8000*1.4)))+2500+4000+(2500*0.7+2500*0.3*35/70)+(IF(35&lt;=50,3000,3000*2))+500+3000+5000+2000)+(IF('РАСХОДЫ'!$C$4="Да",0,((IF(35&lt;=60,13000*0.85,IF(35&lt;=85,13000,13000*1.15)))+3500+55*35*2+30*ROUND(35*'РАСХОДЫ'!$C$3,0)+90*ROUND(35*'РАСХОДЫ'!$C$3,0)+90*ROUND(35*'РАСХОДЫ'!$C$3,0)+75*ROUND(35*'РАСХОДЫ'!$C$3,0)+60*ROUND(35*'РАСХОДЫ'!$C$3,0)+5000+5000+(IF(35&lt;=50,8000,IF(35&lt;=75,8000*1.2,8000*1.4)))+2500+4000+(2500*0.7+2500*0.3*35/70)+(IF(35&lt;=50,3000,3000*2))+500+3000+5000+2000)*0.15))+(((IF(35&lt;=60,13000*0.85,IF(35&lt;=85,13000,13000*1.15)))+3500+55*35*2+30*ROUND(35*'РАСХОДЫ'!$C$3,0)+90*ROUND(35*'РАСХОДЫ'!$C$3,0)+90*ROUND(35*'РАСХОДЫ'!$C$3,0)+75*ROUND(35*'РАСХОДЫ'!$C$3,0)+60*ROUND(35*'РАСХОДЫ'!$C$3,0)+5000+5000+(IF(35&lt;=50,8000,IF(35&lt;=75,8000*1.2,8000*1.4)))+2500+4000+(2500*0.7+2500*0.3*35/70)+(IF(35&lt;=50,3000,3000*2))+500+3000+5000+2000)*0.1)+0.04*((ROUND(35*'ДОХОДЫ'!$C$2*(1-'РАСХОДЫ'!$C$3),0))*('ДОХОДЫ'!$C$3*290+(1-'ДОХОДЫ'!$C$3)*377)+(ROUND(35*'ДОХОДЫ'!$C$2*'РАСХОДЫ'!$C$3,0))*('ДОХОДЫ'!$C$3*590+(1-'ДОХОДЫ'!$C$3)*767)+(MAX(ROUND(35*(1-'ДОХОДЫ'!$C$2)*(1-'РАСХОДЫ'!$C$3),0),0))*('ДОХОДЫ'!$C$3*490+(1-'ДОХОДЫ'!$C$3)*637)+(MAX(ROUND(35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13" s="8">
        <f>(ROUND(35*'ДОХОДЫ'!$C$2*(1-'РАСХОДЫ'!$C$3),0))*('ДОХОДЫ'!$C$3*290+(1-'ДОХОДЫ'!$C$3)*377)+(ROUND(35*'ДОХОДЫ'!$C$2*'РАСХОДЫ'!$C$3,0))*('ДОХОДЫ'!$C$3*590+(1-'ДОХОДЫ'!$C$3)*767)+(MAX(ROUND(35*(1-'ДОХОДЫ'!$C$2)*(1-'РАСХОДЫ'!$C$3),0),0))*('ДОХОДЫ'!$C$3*490+(1-'ДОХОДЫ'!$C$3)*637)+(MAX(ROUND(35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13" s="29">
        <f>C13-B13</f>
        <v/>
      </c>
      <c r="E13" s="30">
        <f>IF(C13=0,0,D13/C13)</f>
        <v/>
      </c>
    </row>
    <row r="14">
      <c r="A14" s="6" t="n">
        <v>40</v>
      </c>
      <c r="B14" s="8">
        <f>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+(IF('РАСХОДЫ'!$C$4="Да",0,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0.15))+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0.1)+0.04*((ROUND(40*'ДОХОДЫ'!$C$2*(1-'РАСХОДЫ'!$C$3),0))*('ДОХОДЫ'!$C$3*290+(1-'ДОХОДЫ'!$C$3)*377)+(ROUND(40*'ДОХОДЫ'!$C$2*'РАСХОДЫ'!$C$3,0))*('ДОХОДЫ'!$C$3*590+(1-'ДОХОДЫ'!$C$3)*767)+(MAX(ROUND(40*(1-'ДОХОДЫ'!$C$2)*(1-'РАСХОДЫ'!$C$3),0),0))*('ДОХОДЫ'!$C$3*490+(1-'ДОХОДЫ'!$C$3)*637)+(MAX(ROUND(40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14" s="8">
        <f>(ROUND(40*'ДОХОДЫ'!$C$2*(1-'РАСХОДЫ'!$C$3),0))*('ДОХОДЫ'!$C$3*290+(1-'ДОХОДЫ'!$C$3)*377)+(ROUND(40*'ДОХОДЫ'!$C$2*'РАСХОДЫ'!$C$3,0))*('ДОХОДЫ'!$C$3*590+(1-'ДОХОДЫ'!$C$3)*767)+(MAX(ROUND(40*(1-'ДОХОДЫ'!$C$2)*(1-'РАСХОДЫ'!$C$3),0),0))*('ДОХОДЫ'!$C$3*490+(1-'ДОХОДЫ'!$C$3)*637)+(MAX(ROUND(40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14" s="29">
        <f>C14-B14</f>
        <v/>
      </c>
      <c r="E14" s="30">
        <f>IF(C14=0,0,D14/C14)</f>
        <v/>
      </c>
    </row>
    <row r="15">
      <c r="A15" s="6" t="n">
        <v>45</v>
      </c>
      <c r="B15" s="8">
        <f>((IF(45&lt;=60,13000*0.85,IF(45&lt;=85,13000,13000*1.15)))+3500+55*45*2+30*ROUND(45*'РАСХОДЫ'!$C$3,0)+90*ROUND(45*'РАСХОДЫ'!$C$3,0)+90*ROUND(45*'РАСХОДЫ'!$C$3,0)+75*ROUND(45*'РАСХОДЫ'!$C$3,0)+60*ROUND(45*'РАСХОДЫ'!$C$3,0)+5000+5000+(IF(45&lt;=50,8000,IF(45&lt;=75,8000*1.2,8000*1.4)))+2500+4000+(2500*0.7+2500*0.3*45/70)+(IF(45&lt;=50,3000,3000*2))+500+3000+5000+2000)+(IF('РАСХОДЫ'!$C$4="Да",0,((IF(45&lt;=60,13000*0.85,IF(45&lt;=85,13000,13000*1.15)))+3500+55*45*2+30*ROUND(45*'РАСХОДЫ'!$C$3,0)+90*ROUND(45*'РАСХОДЫ'!$C$3,0)+90*ROUND(45*'РАСХОДЫ'!$C$3,0)+75*ROUND(45*'РАСХОДЫ'!$C$3,0)+60*ROUND(45*'РАСХОДЫ'!$C$3,0)+5000+5000+(IF(45&lt;=50,8000,IF(45&lt;=75,8000*1.2,8000*1.4)))+2500+4000+(2500*0.7+2500*0.3*45/70)+(IF(45&lt;=50,3000,3000*2))+500+3000+5000+2000)*0.15))+(((IF(45&lt;=60,13000*0.85,IF(45&lt;=85,13000,13000*1.15)))+3500+55*45*2+30*ROUND(45*'РАСХОДЫ'!$C$3,0)+90*ROUND(45*'РАСХОДЫ'!$C$3,0)+90*ROUND(45*'РАСХОДЫ'!$C$3,0)+75*ROUND(45*'РАСХОДЫ'!$C$3,0)+60*ROUND(45*'РАСХОДЫ'!$C$3,0)+5000+5000+(IF(45&lt;=50,8000,IF(45&lt;=75,8000*1.2,8000*1.4)))+2500+4000+(2500*0.7+2500*0.3*45/70)+(IF(45&lt;=50,3000,3000*2))+500+3000+5000+2000)*0.1)+0.04*((ROUND(45*'ДОХОДЫ'!$C$2*(1-'РАСХОДЫ'!$C$3),0))*('ДОХОДЫ'!$C$3*290+(1-'ДОХОДЫ'!$C$3)*377)+(ROUND(45*'ДОХОДЫ'!$C$2*'РАСХОДЫ'!$C$3,0))*('ДОХОДЫ'!$C$3*590+(1-'ДОХОДЫ'!$C$3)*767)+(MAX(ROUND(45*(1-'ДОХОДЫ'!$C$2)*(1-'РАСХОДЫ'!$C$3),0),0))*('ДОХОДЫ'!$C$3*490+(1-'ДОХОДЫ'!$C$3)*637)+(MAX(ROUND(45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15" s="8">
        <f>(ROUND(45*'ДОХОДЫ'!$C$2*(1-'РАСХОДЫ'!$C$3),0))*('ДОХОДЫ'!$C$3*290+(1-'ДОХОДЫ'!$C$3)*377)+(ROUND(45*'ДОХОДЫ'!$C$2*'РАСХОДЫ'!$C$3,0))*('ДОХОДЫ'!$C$3*590+(1-'ДОХОДЫ'!$C$3)*767)+(MAX(ROUND(45*(1-'ДОХОДЫ'!$C$2)*(1-'РАСХОДЫ'!$C$3),0),0))*('ДОХОДЫ'!$C$3*490+(1-'ДОХОДЫ'!$C$3)*637)+(MAX(ROUND(45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15" s="29">
        <f>C15-B15</f>
        <v/>
      </c>
      <c r="E15" s="30">
        <f>IF(C15=0,0,D15/C15)</f>
        <v/>
      </c>
    </row>
    <row r="16">
      <c r="A16" s="6" t="n">
        <v>50</v>
      </c>
      <c r="B16" s="8">
        <f>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+(IF('РАСХОДЫ'!$C$4="Да",0,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0.15))+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0.1)+0.04*((ROUND(50*'ДОХОДЫ'!$C$2*(1-'РАСХОДЫ'!$C$3),0))*('ДОХОДЫ'!$C$3*290+(1-'ДОХОДЫ'!$C$3)*377)+(ROUND(50*'ДОХОДЫ'!$C$2*'РАСХОДЫ'!$C$3,0))*('ДОХОДЫ'!$C$3*590+(1-'ДОХОДЫ'!$C$3)*767)+(MAX(ROUND(50*(1-'ДОХОДЫ'!$C$2)*(1-'РАСХОДЫ'!$C$3),0),0))*('ДОХОДЫ'!$C$3*490+(1-'ДОХОДЫ'!$C$3)*637)+(MAX(ROUND(50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16" s="8">
        <f>(ROUND(50*'ДОХОДЫ'!$C$2*(1-'РАСХОДЫ'!$C$3),0))*('ДОХОДЫ'!$C$3*290+(1-'ДОХОДЫ'!$C$3)*377)+(ROUND(50*'ДОХОДЫ'!$C$2*'РАСХОДЫ'!$C$3,0))*('ДОХОДЫ'!$C$3*590+(1-'ДОХОДЫ'!$C$3)*767)+(MAX(ROUND(50*(1-'ДОХОДЫ'!$C$2)*(1-'РАСХОДЫ'!$C$3),0),0))*('ДОХОДЫ'!$C$3*490+(1-'ДОХОДЫ'!$C$3)*637)+(MAX(ROUND(50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16" s="29">
        <f>C16-B16</f>
        <v/>
      </c>
      <c r="E16" s="30">
        <f>IF(C16=0,0,D16/C16)</f>
        <v/>
      </c>
    </row>
    <row r="17">
      <c r="A17" s="6" t="n">
        <v>55</v>
      </c>
      <c r="B17" s="8">
        <f>((IF(55&lt;=60,13000*0.85,IF(55&lt;=85,13000,13000*1.15)))+3500+55*55*2+30*ROUND(55*'РАСХОДЫ'!$C$3,0)+90*ROUND(55*'РАСХОДЫ'!$C$3,0)+90*ROUND(55*'РАСХОДЫ'!$C$3,0)+75*ROUND(55*'РАСХОДЫ'!$C$3,0)+60*ROUND(55*'РАСХОДЫ'!$C$3,0)+5000+5000+(IF(55&lt;=50,8000,IF(55&lt;=75,8000*1.2,8000*1.4)))+2500+4000+(2500*0.7+2500*0.3*55/70)+(IF(55&lt;=50,3000,3000*2))+500+3000+5000+2000)+(IF('РАСХОДЫ'!$C$4="Да",0,((IF(55&lt;=60,13000*0.85,IF(55&lt;=85,13000,13000*1.15)))+3500+55*55*2+30*ROUND(55*'РАСХОДЫ'!$C$3,0)+90*ROUND(55*'РАСХОДЫ'!$C$3,0)+90*ROUND(55*'РАСХОДЫ'!$C$3,0)+75*ROUND(55*'РАСХОДЫ'!$C$3,0)+60*ROUND(55*'РАСХОДЫ'!$C$3,0)+5000+5000+(IF(55&lt;=50,8000,IF(55&lt;=75,8000*1.2,8000*1.4)))+2500+4000+(2500*0.7+2500*0.3*55/70)+(IF(55&lt;=50,3000,3000*2))+500+3000+5000+2000)*0.15))+(((IF(55&lt;=60,13000*0.85,IF(55&lt;=85,13000,13000*1.15)))+3500+55*55*2+30*ROUND(55*'РАСХОДЫ'!$C$3,0)+90*ROUND(55*'РАСХОДЫ'!$C$3,0)+90*ROUND(55*'РАСХОДЫ'!$C$3,0)+75*ROUND(55*'РАСХОДЫ'!$C$3,0)+60*ROUND(55*'РАСХОДЫ'!$C$3,0)+5000+5000+(IF(55&lt;=50,8000,IF(55&lt;=75,8000*1.2,8000*1.4)))+2500+4000+(2500*0.7+2500*0.3*55/70)+(IF(55&lt;=50,3000,3000*2))+500+3000+5000+2000)*0.1)+0.04*((ROUND(55*'ДОХОДЫ'!$C$2*(1-'РАСХОДЫ'!$C$3),0))*('ДОХОДЫ'!$C$3*290+(1-'ДОХОДЫ'!$C$3)*377)+(ROUND(55*'ДОХОДЫ'!$C$2*'РАСХОДЫ'!$C$3,0))*('ДОХОДЫ'!$C$3*590+(1-'ДОХОДЫ'!$C$3)*767)+(MAX(ROUND(55*(1-'ДОХОДЫ'!$C$2)*(1-'РАСХОДЫ'!$C$3),0),0))*('ДОХОДЫ'!$C$3*490+(1-'ДОХОДЫ'!$C$3)*637)+(MAX(ROUND(55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17" s="8">
        <f>(ROUND(55*'ДОХОДЫ'!$C$2*(1-'РАСХОДЫ'!$C$3),0))*('ДОХОДЫ'!$C$3*290+(1-'ДОХОДЫ'!$C$3)*377)+(ROUND(55*'ДОХОДЫ'!$C$2*'РАСХОДЫ'!$C$3,0))*('ДОХОДЫ'!$C$3*590+(1-'ДОХОДЫ'!$C$3)*767)+(MAX(ROUND(55*(1-'ДОХОДЫ'!$C$2)*(1-'РАСХОДЫ'!$C$3),0),0))*('ДОХОДЫ'!$C$3*490+(1-'ДОХОДЫ'!$C$3)*637)+(MAX(ROUND(55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17" s="29">
        <f>C17-B17</f>
        <v/>
      </c>
      <c r="E17" s="30">
        <f>IF(C17=0,0,D17/C17)</f>
        <v/>
      </c>
    </row>
    <row r="18">
      <c r="A18" s="6" t="n">
        <v>60</v>
      </c>
      <c r="B18" s="8">
        <f>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+(IF('РАСХОДЫ'!$C$4="Да",0,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0.15))+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0.1)+0.04*((ROUND(60*'ДОХОДЫ'!$C$2*(1-'РАСХОДЫ'!$C$3),0))*('ДОХОДЫ'!$C$3*290+(1-'ДОХОДЫ'!$C$3)*377)+(ROUND(60*'ДОХОДЫ'!$C$2*'РАСХОДЫ'!$C$3,0))*('ДОХОДЫ'!$C$3*590+(1-'ДОХОДЫ'!$C$3)*767)+(MAX(ROUND(60*(1-'ДОХОДЫ'!$C$2)*(1-'РАСХОДЫ'!$C$3),0),0))*('ДОХОДЫ'!$C$3*490+(1-'ДОХОДЫ'!$C$3)*637)+(MAX(ROUND(60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18" s="8">
        <f>(ROUND(60*'ДОХОДЫ'!$C$2*(1-'РАСХОДЫ'!$C$3),0))*('ДОХОДЫ'!$C$3*290+(1-'ДОХОДЫ'!$C$3)*377)+(ROUND(60*'ДОХОДЫ'!$C$2*'РАСХОДЫ'!$C$3,0))*('ДОХОДЫ'!$C$3*590+(1-'ДОХОДЫ'!$C$3)*767)+(MAX(ROUND(60*(1-'ДОХОДЫ'!$C$2)*(1-'РАСХОДЫ'!$C$3),0),0))*('ДОХОДЫ'!$C$3*490+(1-'ДОХОДЫ'!$C$3)*637)+(MAX(ROUND(60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18" s="29">
        <f>C18-B18</f>
        <v/>
      </c>
      <c r="E18" s="30">
        <f>IF(C18=0,0,D18/C18)</f>
        <v/>
      </c>
    </row>
    <row r="19">
      <c r="A19" s="6" t="n">
        <v>65</v>
      </c>
      <c r="B19" s="8">
        <f>((IF(65&lt;=60,13000*0.85,IF(65&lt;=85,13000,13000*1.15)))+3500+55*65*2+30*ROUND(65*'РАСХОДЫ'!$C$3,0)+90*ROUND(65*'РАСХОДЫ'!$C$3,0)+90*ROUND(65*'РАСХОДЫ'!$C$3,0)+75*ROUND(65*'РАСХОДЫ'!$C$3,0)+60*ROUND(65*'РАСХОДЫ'!$C$3,0)+5000+5000+(IF(65&lt;=50,8000,IF(65&lt;=75,8000*1.2,8000*1.4)))+2500+4000+(2500*0.7+2500*0.3*65/70)+(IF(65&lt;=50,3000,3000*2))+500+3000+5000+2000)+(IF('РАСХОДЫ'!$C$4="Да",0,((IF(65&lt;=60,13000*0.85,IF(65&lt;=85,13000,13000*1.15)))+3500+55*65*2+30*ROUND(65*'РАСХОДЫ'!$C$3,0)+90*ROUND(65*'РАСХОДЫ'!$C$3,0)+90*ROUND(65*'РАСХОДЫ'!$C$3,0)+75*ROUND(65*'РАСХОДЫ'!$C$3,0)+60*ROUND(65*'РАСХОДЫ'!$C$3,0)+5000+5000+(IF(65&lt;=50,8000,IF(65&lt;=75,8000*1.2,8000*1.4)))+2500+4000+(2500*0.7+2500*0.3*65/70)+(IF(65&lt;=50,3000,3000*2))+500+3000+5000+2000)*0.15))+(((IF(65&lt;=60,13000*0.85,IF(65&lt;=85,13000,13000*1.15)))+3500+55*65*2+30*ROUND(65*'РАСХОДЫ'!$C$3,0)+90*ROUND(65*'РАСХОДЫ'!$C$3,0)+90*ROUND(65*'РАСХОДЫ'!$C$3,0)+75*ROUND(65*'РАСХОДЫ'!$C$3,0)+60*ROUND(65*'РАСХОДЫ'!$C$3,0)+5000+5000+(IF(65&lt;=50,8000,IF(65&lt;=75,8000*1.2,8000*1.4)))+2500+4000+(2500*0.7+2500*0.3*65/70)+(IF(65&lt;=50,3000,3000*2))+500+3000+5000+2000)*0.1)+0.04*((ROUND(65*'ДОХОДЫ'!$C$2*(1-'РАСХОДЫ'!$C$3),0))*('ДОХОДЫ'!$C$3*290+(1-'ДОХОДЫ'!$C$3)*377)+(ROUND(65*'ДОХОДЫ'!$C$2*'РАСХОДЫ'!$C$3,0))*('ДОХОДЫ'!$C$3*590+(1-'ДОХОДЫ'!$C$3)*767)+(MAX(ROUND(65*(1-'ДОХОДЫ'!$C$2)*(1-'РАСХОДЫ'!$C$3),0),0))*('ДОХОДЫ'!$C$3*490+(1-'ДОХОДЫ'!$C$3)*637)+(MAX(ROUND(65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19" s="8">
        <f>(ROUND(65*'ДОХОДЫ'!$C$2*(1-'РАСХОДЫ'!$C$3),0))*('ДОХОДЫ'!$C$3*290+(1-'ДОХОДЫ'!$C$3)*377)+(ROUND(65*'ДОХОДЫ'!$C$2*'РАСХОДЫ'!$C$3,0))*('ДОХОДЫ'!$C$3*590+(1-'ДОХОДЫ'!$C$3)*767)+(MAX(ROUND(65*(1-'ДОХОДЫ'!$C$2)*(1-'РАСХОДЫ'!$C$3),0),0))*('ДОХОДЫ'!$C$3*490+(1-'ДОХОДЫ'!$C$3)*637)+(MAX(ROUND(65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19" s="29">
        <f>C19-B19</f>
        <v/>
      </c>
      <c r="E19" s="30">
        <f>IF(C19=0,0,D19/C19)</f>
        <v/>
      </c>
    </row>
    <row r="20">
      <c r="A20" s="6" t="n">
        <v>70</v>
      </c>
      <c r="B20" s="8">
        <f>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+(IF('РАСХОДЫ'!$C$4="Да",0,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0.15))+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0.1)+0.04*((ROUND(70*'ДОХОДЫ'!$C$2*(1-'РАСХОДЫ'!$C$3),0))*('ДОХОДЫ'!$C$3*290+(1-'ДОХОДЫ'!$C$3)*377)+(ROUND(70*'ДОХОДЫ'!$C$2*'РАСХОДЫ'!$C$3,0))*('ДОХОДЫ'!$C$3*590+(1-'ДОХОДЫ'!$C$3)*767)+(MAX(ROUND(70*(1-'ДОХОДЫ'!$C$2)*(1-'РАСХОДЫ'!$C$3),0),0))*('ДОХОДЫ'!$C$3*490+(1-'ДОХОДЫ'!$C$3)*637)+(MAX(ROUND(70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20" s="8">
        <f>(ROUND(70*'ДОХОДЫ'!$C$2*(1-'РАСХОДЫ'!$C$3),0))*('ДОХОДЫ'!$C$3*290+(1-'ДОХОДЫ'!$C$3)*377)+(ROUND(70*'ДОХОДЫ'!$C$2*'РАСХОДЫ'!$C$3,0))*('ДОХОДЫ'!$C$3*590+(1-'ДОХОДЫ'!$C$3)*767)+(MAX(ROUND(70*(1-'ДОХОДЫ'!$C$2)*(1-'РАСХОДЫ'!$C$3),0),0))*('ДОХОДЫ'!$C$3*490+(1-'ДОХОДЫ'!$C$3)*637)+(MAX(ROUND(70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20" s="29">
        <f>C20-B20</f>
        <v/>
      </c>
      <c r="E20" s="30">
        <f>IF(C20=0,0,D20/C20)</f>
        <v/>
      </c>
    </row>
    <row r="21">
      <c r="A21" s="6" t="n">
        <v>75</v>
      </c>
      <c r="B21" s="8">
        <f>((IF(75&lt;=60,13000*0.85,IF(75&lt;=85,13000,13000*1.15)))+3500+55*75*2+30*ROUND(75*'РАСХОДЫ'!$C$3,0)+90*ROUND(75*'РАСХОДЫ'!$C$3,0)+90*ROUND(75*'РАСХОДЫ'!$C$3,0)+75*ROUND(75*'РАСХОДЫ'!$C$3,0)+60*ROUND(75*'РАСХОДЫ'!$C$3,0)+5000+5000+(IF(75&lt;=50,8000,IF(75&lt;=75,8000*1.2,8000*1.4)))+2500+4000+(2500*0.7+2500*0.3*75/70)+(IF(75&lt;=50,3000,3000*2))+500+3000+5000+2000)+(IF('РАСХОДЫ'!$C$4="Да",0,((IF(75&lt;=60,13000*0.85,IF(75&lt;=85,13000,13000*1.15)))+3500+55*75*2+30*ROUND(75*'РАСХОДЫ'!$C$3,0)+90*ROUND(75*'РАСХОДЫ'!$C$3,0)+90*ROUND(75*'РАСХОДЫ'!$C$3,0)+75*ROUND(75*'РАСХОДЫ'!$C$3,0)+60*ROUND(75*'РАСХОДЫ'!$C$3,0)+5000+5000+(IF(75&lt;=50,8000,IF(75&lt;=75,8000*1.2,8000*1.4)))+2500+4000+(2500*0.7+2500*0.3*75/70)+(IF(75&lt;=50,3000,3000*2))+500+3000+5000+2000)*0.15))+(((IF(75&lt;=60,13000*0.85,IF(75&lt;=85,13000,13000*1.15)))+3500+55*75*2+30*ROUND(75*'РАСХОДЫ'!$C$3,0)+90*ROUND(75*'РАСХОДЫ'!$C$3,0)+90*ROUND(75*'РАСХОДЫ'!$C$3,0)+75*ROUND(75*'РАСХОДЫ'!$C$3,0)+60*ROUND(75*'РАСХОДЫ'!$C$3,0)+5000+5000+(IF(75&lt;=50,8000,IF(75&lt;=75,8000*1.2,8000*1.4)))+2500+4000+(2500*0.7+2500*0.3*75/70)+(IF(75&lt;=50,3000,3000*2))+500+3000+5000+2000)*0.1)+0.04*((ROUND(75*'ДОХОДЫ'!$C$2*(1-'РАСХОДЫ'!$C$3),0))*('ДОХОДЫ'!$C$3*290+(1-'ДОХОДЫ'!$C$3)*377)+(ROUND(75*'ДОХОДЫ'!$C$2*'РАСХОДЫ'!$C$3,0))*('ДОХОДЫ'!$C$3*590+(1-'ДОХОДЫ'!$C$3)*767)+(MAX(ROUND(75*(1-'ДОХОДЫ'!$C$2)*(1-'РАСХОДЫ'!$C$3),0),0))*('ДОХОДЫ'!$C$3*490+(1-'ДОХОДЫ'!$C$3)*637)+(MAX(ROUND(75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21" s="8">
        <f>(ROUND(75*'ДОХОДЫ'!$C$2*(1-'РАСХОДЫ'!$C$3),0))*('ДОХОДЫ'!$C$3*290+(1-'ДОХОДЫ'!$C$3)*377)+(ROUND(75*'ДОХОДЫ'!$C$2*'РАСХОДЫ'!$C$3,0))*('ДОХОДЫ'!$C$3*590+(1-'ДОХОДЫ'!$C$3)*767)+(MAX(ROUND(75*(1-'ДОХОДЫ'!$C$2)*(1-'РАСХОДЫ'!$C$3),0),0))*('ДОХОДЫ'!$C$3*490+(1-'ДОХОДЫ'!$C$3)*637)+(MAX(ROUND(75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21" s="29">
        <f>C21-B21</f>
        <v/>
      </c>
      <c r="E21" s="30">
        <f>IF(C21=0,0,D21/C21)</f>
        <v/>
      </c>
    </row>
    <row r="22">
      <c r="A22" s="6" t="n">
        <v>80</v>
      </c>
      <c r="B22" s="8">
        <f>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+(IF('РАСХОДЫ'!$C$4="Да",0,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0.15))+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0.1)+0.04*((ROUND(80*'ДОХОДЫ'!$C$2*(1-'РАСХОДЫ'!$C$3),0))*('ДОХОДЫ'!$C$3*290+(1-'ДОХОДЫ'!$C$3)*377)+(ROUND(80*'ДОХОДЫ'!$C$2*'РАСХОДЫ'!$C$3,0))*('ДОХОДЫ'!$C$3*590+(1-'ДОХОДЫ'!$C$3)*767)+(MAX(ROUND(80*(1-'ДОХОДЫ'!$C$2)*(1-'РАСХОДЫ'!$C$3),0),0))*('ДОХОДЫ'!$C$3*490+(1-'ДОХОДЫ'!$C$3)*637)+(MAX(ROUND(80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22" s="8">
        <f>(ROUND(80*'ДОХОДЫ'!$C$2*(1-'РАСХОДЫ'!$C$3),0))*('ДОХОДЫ'!$C$3*290+(1-'ДОХОДЫ'!$C$3)*377)+(ROUND(80*'ДОХОДЫ'!$C$2*'РАСХОДЫ'!$C$3,0))*('ДОХОДЫ'!$C$3*590+(1-'ДОХОДЫ'!$C$3)*767)+(MAX(ROUND(80*(1-'ДОХОДЫ'!$C$2)*(1-'РАСХОДЫ'!$C$3),0),0))*('ДОХОДЫ'!$C$3*490+(1-'ДОХОДЫ'!$C$3)*637)+(MAX(ROUND(80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22" s="29">
        <f>C22-B22</f>
        <v/>
      </c>
      <c r="E22" s="30">
        <f>IF(C22=0,0,D22/C22)</f>
        <v/>
      </c>
    </row>
    <row r="23">
      <c r="A23" s="6" t="n">
        <v>85</v>
      </c>
      <c r="B23" s="8">
        <f>((IF(85&lt;=60,13000*0.85,IF(85&lt;=85,13000,13000*1.15)))+3500+55*85*2+30*ROUND(85*'РАСХОДЫ'!$C$3,0)+90*ROUND(85*'РАСХОДЫ'!$C$3,0)+90*ROUND(85*'РАСХОДЫ'!$C$3,0)+75*ROUND(85*'РАСХОДЫ'!$C$3,0)+60*ROUND(85*'РАСХОДЫ'!$C$3,0)+5000+5000+(IF(85&lt;=50,8000,IF(85&lt;=75,8000*1.2,8000*1.4)))+2500+4000+(2500*0.7+2500*0.3*85/70)+(IF(85&lt;=50,3000,3000*2))+500+3000+5000+2000)+(IF('РАСХОДЫ'!$C$4="Да",0,((IF(85&lt;=60,13000*0.85,IF(85&lt;=85,13000,13000*1.15)))+3500+55*85*2+30*ROUND(85*'РАСХОДЫ'!$C$3,0)+90*ROUND(85*'РАСХОДЫ'!$C$3,0)+90*ROUND(85*'РАСХОДЫ'!$C$3,0)+75*ROUND(85*'РАСХОДЫ'!$C$3,0)+60*ROUND(85*'РАСХОДЫ'!$C$3,0)+5000+5000+(IF(85&lt;=50,8000,IF(85&lt;=75,8000*1.2,8000*1.4)))+2500+4000+(2500*0.7+2500*0.3*85/70)+(IF(85&lt;=50,3000,3000*2))+500+3000+5000+2000)*0.15))+(((IF(85&lt;=60,13000*0.85,IF(85&lt;=85,13000,13000*1.15)))+3500+55*85*2+30*ROUND(85*'РАСХОДЫ'!$C$3,0)+90*ROUND(85*'РАСХОДЫ'!$C$3,0)+90*ROUND(85*'РАСХОДЫ'!$C$3,0)+75*ROUND(85*'РАСХОДЫ'!$C$3,0)+60*ROUND(85*'РАСХОДЫ'!$C$3,0)+5000+5000+(IF(85&lt;=50,8000,IF(85&lt;=75,8000*1.2,8000*1.4)))+2500+4000+(2500*0.7+2500*0.3*85/70)+(IF(85&lt;=50,3000,3000*2))+500+3000+5000+2000)*0.1)+0.04*((ROUND(85*'ДОХОДЫ'!$C$2*(1-'РАСХОДЫ'!$C$3),0))*('ДОХОДЫ'!$C$3*290+(1-'ДОХОДЫ'!$C$3)*377)+(ROUND(85*'ДОХОДЫ'!$C$2*'РАСХОДЫ'!$C$3,0))*('ДОХОДЫ'!$C$3*590+(1-'ДОХОДЫ'!$C$3)*767)+(MAX(ROUND(85*(1-'ДОХОДЫ'!$C$2)*(1-'РАСХОДЫ'!$C$3),0),0))*('ДОХОДЫ'!$C$3*490+(1-'ДОХОДЫ'!$C$3)*637)+(MAX(ROUND(85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23" s="8">
        <f>(ROUND(85*'ДОХОДЫ'!$C$2*(1-'РАСХОДЫ'!$C$3),0))*('ДОХОДЫ'!$C$3*290+(1-'ДОХОДЫ'!$C$3)*377)+(ROUND(85*'ДОХОДЫ'!$C$2*'РАСХОДЫ'!$C$3,0))*('ДОХОДЫ'!$C$3*590+(1-'ДОХОДЫ'!$C$3)*767)+(MAX(ROUND(85*(1-'ДОХОДЫ'!$C$2)*(1-'РАСХОДЫ'!$C$3),0),0))*('ДОХОДЫ'!$C$3*490+(1-'ДОХОДЫ'!$C$3)*637)+(MAX(ROUND(85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23" s="29">
        <f>C23-B23</f>
        <v/>
      </c>
      <c r="E23" s="30">
        <f>IF(C23=0,0,D23/C23)</f>
        <v/>
      </c>
    </row>
    <row r="24">
      <c r="A24" s="6" t="n">
        <v>90</v>
      </c>
      <c r="B24" s="8">
        <f>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+(IF('РАСХОДЫ'!$C$4="Да",0,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0.15))+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0.1)+0.04*((ROUND(90*'ДОХОДЫ'!$C$2*(1-'РАСХОДЫ'!$C$3),0))*('ДОХОДЫ'!$C$3*290+(1-'ДОХОДЫ'!$C$3)*377)+(ROUND(90*'ДОХОДЫ'!$C$2*'РАСХОДЫ'!$C$3,0))*('ДОХОДЫ'!$C$3*590+(1-'ДОХОДЫ'!$C$3)*767)+(MAX(ROUND(90*(1-'ДОХОДЫ'!$C$2)*(1-'РАСХОДЫ'!$C$3),0),0))*('ДОХОДЫ'!$C$3*490+(1-'ДОХОДЫ'!$C$3)*637)+(MAX(ROUND(90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24" s="8">
        <f>(ROUND(90*'ДОХОДЫ'!$C$2*(1-'РАСХОДЫ'!$C$3),0))*('ДОХОДЫ'!$C$3*290+(1-'ДОХОДЫ'!$C$3)*377)+(ROUND(90*'ДОХОДЫ'!$C$2*'РАСХОДЫ'!$C$3,0))*('ДОХОДЫ'!$C$3*590+(1-'ДОХОДЫ'!$C$3)*767)+(MAX(ROUND(90*(1-'ДОХОДЫ'!$C$2)*(1-'РАСХОДЫ'!$C$3),0),0))*('ДОХОДЫ'!$C$3*490+(1-'ДОХОДЫ'!$C$3)*637)+(MAX(ROUND(90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24" s="29">
        <f>C24-B24</f>
        <v/>
      </c>
      <c r="E24" s="30">
        <f>IF(C24=0,0,D24/C24)</f>
        <v/>
      </c>
    </row>
    <row r="25">
      <c r="A25" s="6" t="n">
        <v>95</v>
      </c>
      <c r="B25" s="8">
        <f>((IF(95&lt;=60,13000*0.85,IF(95&lt;=85,13000,13000*1.15)))+3500+55*95*2+30*ROUND(95*'РАСХОДЫ'!$C$3,0)+90*ROUND(95*'РАСХОДЫ'!$C$3,0)+90*ROUND(95*'РАСХОДЫ'!$C$3,0)+75*ROUND(95*'РАСХОДЫ'!$C$3,0)+60*ROUND(95*'РАСХОДЫ'!$C$3,0)+5000+5000+(IF(95&lt;=50,8000,IF(95&lt;=75,8000*1.2,8000*1.4)))+2500+4000+(2500*0.7+2500*0.3*95/70)+(IF(95&lt;=50,3000,3000*2))+500+3000+5000+2000)+(IF('РАСХОДЫ'!$C$4="Да",0,((IF(95&lt;=60,13000*0.85,IF(95&lt;=85,13000,13000*1.15)))+3500+55*95*2+30*ROUND(95*'РАСХОДЫ'!$C$3,0)+90*ROUND(95*'РАСХОДЫ'!$C$3,0)+90*ROUND(95*'РАСХОДЫ'!$C$3,0)+75*ROUND(95*'РАСХОДЫ'!$C$3,0)+60*ROUND(95*'РАСХОДЫ'!$C$3,0)+5000+5000+(IF(95&lt;=50,8000,IF(95&lt;=75,8000*1.2,8000*1.4)))+2500+4000+(2500*0.7+2500*0.3*95/70)+(IF(95&lt;=50,3000,3000*2))+500+3000+5000+2000)*0.15))+(((IF(95&lt;=60,13000*0.85,IF(95&lt;=85,13000,13000*1.15)))+3500+55*95*2+30*ROUND(95*'РАСХОДЫ'!$C$3,0)+90*ROUND(95*'РАСХОДЫ'!$C$3,0)+90*ROUND(95*'РАСХОДЫ'!$C$3,0)+75*ROUND(95*'РАСХОДЫ'!$C$3,0)+60*ROUND(95*'РАСХОДЫ'!$C$3,0)+5000+5000+(IF(95&lt;=50,8000,IF(95&lt;=75,8000*1.2,8000*1.4)))+2500+4000+(2500*0.7+2500*0.3*95/70)+(IF(95&lt;=50,3000,3000*2))+500+3000+5000+2000)*0.1)+0.04*((ROUND(95*'ДОХОДЫ'!$C$2*(1-'РАСХОДЫ'!$C$3),0))*('ДОХОДЫ'!$C$3*290+(1-'ДОХОДЫ'!$C$3)*377)+(ROUND(95*'ДОХОДЫ'!$C$2*'РАСХОДЫ'!$C$3,0))*('ДОХОДЫ'!$C$3*590+(1-'ДОХОДЫ'!$C$3)*767)+(MAX(ROUND(95*(1-'ДОХОДЫ'!$C$2)*(1-'РАСХОДЫ'!$C$3),0),0))*('ДОХОДЫ'!$C$3*490+(1-'ДОХОДЫ'!$C$3)*637)+(MAX(ROUND(95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25" s="8">
        <f>(ROUND(95*'ДОХОДЫ'!$C$2*(1-'РАСХОДЫ'!$C$3),0))*('ДОХОДЫ'!$C$3*290+(1-'ДОХОДЫ'!$C$3)*377)+(ROUND(95*'ДОХОДЫ'!$C$2*'РАСХОДЫ'!$C$3,0))*('ДОХОДЫ'!$C$3*590+(1-'ДОХОДЫ'!$C$3)*767)+(MAX(ROUND(95*(1-'ДОХОДЫ'!$C$2)*(1-'РАСХОДЫ'!$C$3),0),0))*('ДОХОДЫ'!$C$3*490+(1-'ДОХОДЫ'!$C$3)*637)+(MAX(ROUND(95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25" s="29">
        <f>C25-B25</f>
        <v/>
      </c>
      <c r="E25" s="30">
        <f>IF(C25=0,0,D25/C25)</f>
        <v/>
      </c>
    </row>
    <row r="26">
      <c r="A26" s="6" t="n">
        <v>100</v>
      </c>
      <c r="B26" s="8">
        <f>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+(IF('РАСХОДЫ'!$C$4="Да",0,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0.15))+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0.1)+0.04*((ROUND(100*'ДОХОДЫ'!$C$2*(1-'РАСХОДЫ'!$C$3),0))*('ДОХОДЫ'!$C$3*290+(1-'ДОХОДЫ'!$C$3)*377)+(ROUND(100*'ДОХОДЫ'!$C$2*'РАСХОДЫ'!$C$3,0))*('ДОХОДЫ'!$C$3*590+(1-'ДОХОДЫ'!$C$3)*767)+(MAX(ROUND(100*(1-'ДОХОДЫ'!$C$2)*(1-'РАСХОДЫ'!$C$3),0),0))*('ДОХОДЫ'!$C$3*490+(1-'ДОХОДЫ'!$C$3)*637)+(MAX(ROUND(100*(1-'ДОХОДЫ'!$C$2)*'РАСХОДЫ'!$C$3,0)-'ДОХОДЫ'!$C$10,0))*('ДОХОДЫ'!$C$3*890+(1-'ДОХОДЫ'!$C$3)*1157)+'ДОХОДЫ'!$C$5*500+'ДОХОДЫ'!$C$6*1500+'ДОХОДЫ'!$C$7*3000+'ДОХОДЫ'!$C$8*8000+'ДОХОДЫ'!$C$9*15000)</f>
        <v/>
      </c>
      <c r="C26" s="8">
        <f>(ROUND(100*'ДОХОДЫ'!$C$2*(1-'РАСХОДЫ'!$C$3),0))*('ДОХОДЫ'!$C$3*290+(1-'ДОХОДЫ'!$C$3)*377)+(ROUND(100*'ДОХОДЫ'!$C$2*'РАСХОДЫ'!$C$3,0))*('ДОХОДЫ'!$C$3*590+(1-'ДОХОДЫ'!$C$3)*767)+(MAX(ROUND(100*(1-'ДОХОДЫ'!$C$2)*(1-'РАСХОДЫ'!$C$3),0),0))*('ДОХОДЫ'!$C$3*490+(1-'ДОХОДЫ'!$C$3)*637)+(MAX(ROUND(100*(1-'ДОХОДЫ'!$C$2)*'РАСХОДЫ'!$C$3,0)-'ДОХОДЫ'!$C$10,0))*('ДОХОДЫ'!$C$3*890+(1-'ДОХОДЫ'!$C$3)*1157)+'ДОХОДЫ'!$C$5*500+'ДОХОДЫ'!$C$6*1500+'ДОХОДЫ'!$C$7*3000+'ДОХОДЫ'!$C$8*8000+'ДОХОДЫ'!$C$9*15000</f>
        <v/>
      </c>
      <c r="D26" s="29">
        <f>C26-B26</f>
        <v/>
      </c>
      <c r="E26" s="30">
        <f>IF(C26=0,0,D26/C26)</f>
        <v/>
      </c>
    </row>
    <row r="29">
      <c r="A29" s="1" t="inlineStr">
        <is>
          <t>МАТРИЦА: Участники × Партнёры</t>
        </is>
      </c>
      <c r="B29" s="1" t="n"/>
      <c r="C29" s="1" t="n"/>
      <c r="D29" s="1" t="n"/>
      <c r="E29" s="1" t="n"/>
      <c r="F29" s="1" t="n"/>
    </row>
    <row r="30">
      <c r="A30" s="31" t="inlineStr">
        <is>
          <t>Участников</t>
        </is>
      </c>
      <c r="B30" s="32" t="inlineStr">
        <is>
          <t>0 партн.</t>
        </is>
      </c>
      <c r="C30" s="32" t="inlineStr">
        <is>
          <t>1 Partner</t>
        </is>
      </c>
      <c r="D30" s="32" t="inlineStr">
        <is>
          <t>1P + 1S</t>
        </is>
      </c>
      <c r="E30" s="32" t="inlineStr">
        <is>
          <t>1S + 1T</t>
        </is>
      </c>
      <c r="F30" s="32" t="inlineStr">
        <is>
          <t>1P+1S+1T</t>
        </is>
      </c>
    </row>
    <row r="31">
      <c r="A31" s="33" t="n">
        <v>30</v>
      </c>
      <c r="B31" s="29">
        <f>((ROUND(30*'ДОХОДЫ'!$C$2*(1-'РАСХОДЫ'!$C$3),0))*('ДОХОДЫ'!$C$3*290+(1-'ДОХОДЫ'!$C$3)*377)+(ROUND(30*'ДОХОДЫ'!$C$2*'РАСХОДЫ'!$C$3,0))*('ДОХОДЫ'!$C$3*590+(1-'ДОХОДЫ'!$C$3)*767)+(MAX(ROUND(30*(1-'ДОХОДЫ'!$C$2)*(1-'РАСХОДЫ'!$C$3),0),0))*('ДОХОДЫ'!$C$3*490+(1-'ДОХОДЫ'!$C$3)*637)+(MAX(ROUND(30*(1-'ДОХОДЫ'!$C$2)*'РАСХОДЫ'!$C$3,0)-(0*2+0*4+0*6),0))*('ДОХОДЫ'!$C$3*890+(1-'ДОХОДЫ'!$C$3)*1157)+'ДОХОДЫ'!$C$5*500+'ДОХОДЫ'!$C$6*1500+0*3000+0*8000+0*15000)-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+(IF('РАСХОДЫ'!$C$4="Да",0,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0.15))+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0.1))-0.04*((ROUND(30*'ДОХОДЫ'!$C$2*(1-'РАСХОДЫ'!$C$3),0))*('ДОХОДЫ'!$C$3*290+(1-'ДОХОДЫ'!$C$3)*377)+(ROUND(30*'ДОХОДЫ'!$C$2*'РАСХОДЫ'!$C$3,0))*('ДОХОДЫ'!$C$3*590+(1-'ДОХОДЫ'!$C$3)*767)+(MAX(ROUND(30*(1-'ДОХОДЫ'!$C$2)*(1-'РАСХОДЫ'!$C$3),0),0))*('ДОХОДЫ'!$C$3*490+(1-'ДОХОДЫ'!$C$3)*637)+(MAX(ROUND(30*(1-'ДОХОДЫ'!$C$2)*'РАСХОДЫ'!$C$3,0)-(0*2+0*4+0*6),0))*('ДОХОДЫ'!$C$3*890+(1-'ДОХОДЫ'!$C$3)*1157)+'ДОХОДЫ'!$C$5*500+'ДОХОДЫ'!$C$6*1500+0*3000+0*8000+0*15000)</f>
        <v/>
      </c>
      <c r="C31" s="29">
        <f>((ROUND(30*'ДОХОДЫ'!$C$2*(1-'РАСХОДЫ'!$C$3),0))*('ДОХОДЫ'!$C$3*290+(1-'ДОХОДЫ'!$C$3)*377)+(ROUND(30*'ДОХОДЫ'!$C$2*'РАСХОДЫ'!$C$3,0))*('ДОХОДЫ'!$C$3*590+(1-'ДОХОДЫ'!$C$3)*767)+(MAX(ROUND(30*(1-'ДОХОДЫ'!$C$2)*(1-'РАСХОДЫ'!$C$3),0),0))*('ДОХОДЫ'!$C$3*490+(1-'ДОХОДЫ'!$C$3)*637)+(MAX(ROUND(30*(1-'ДОХОДЫ'!$C$2)*'РАСХОДЫ'!$C$3,0)-(1*2+0*4+0*6),0))*('ДОХОДЫ'!$C$3*890+(1-'ДОХОДЫ'!$C$3)*1157)+'ДОХОДЫ'!$C$5*500+'ДОХОДЫ'!$C$6*1500+1*3000+0*8000+0*15000)-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+(IF('РАСХОДЫ'!$C$4="Да",0,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0.15))+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0.1))-0.04*((ROUND(30*'ДОХОДЫ'!$C$2*(1-'РАСХОДЫ'!$C$3),0))*('ДОХОДЫ'!$C$3*290+(1-'ДОХОДЫ'!$C$3)*377)+(ROUND(30*'ДОХОДЫ'!$C$2*'РАСХОДЫ'!$C$3,0))*('ДОХОДЫ'!$C$3*590+(1-'ДОХОДЫ'!$C$3)*767)+(MAX(ROUND(30*(1-'ДОХОДЫ'!$C$2)*(1-'РАСХОДЫ'!$C$3),0),0))*('ДОХОДЫ'!$C$3*490+(1-'ДОХОДЫ'!$C$3)*637)+(MAX(ROUND(30*(1-'ДОХОДЫ'!$C$2)*'РАСХОДЫ'!$C$3,0)-(1*2+0*4+0*6),0))*('ДОХОДЫ'!$C$3*890+(1-'ДОХОДЫ'!$C$3)*1157)+'ДОХОДЫ'!$C$5*500+'ДОХОДЫ'!$C$6*1500+1*3000+0*8000+0*15000)</f>
        <v/>
      </c>
      <c r="D31" s="29">
        <f>((ROUND(30*'ДОХОДЫ'!$C$2*(1-'РАСХОДЫ'!$C$3),0))*('ДОХОДЫ'!$C$3*290+(1-'ДОХОДЫ'!$C$3)*377)+(ROUND(30*'ДОХОДЫ'!$C$2*'РАСХОДЫ'!$C$3,0))*('ДОХОДЫ'!$C$3*590+(1-'ДОХОДЫ'!$C$3)*767)+(MAX(ROUND(30*(1-'ДОХОДЫ'!$C$2)*(1-'РАСХОДЫ'!$C$3),0),0))*('ДОХОДЫ'!$C$3*490+(1-'ДОХОДЫ'!$C$3)*637)+(MAX(ROUND(30*(1-'ДОХОДЫ'!$C$2)*'РАСХОДЫ'!$C$3,0)-(1*2+1*4+0*6),0))*('ДОХОДЫ'!$C$3*890+(1-'ДОХОДЫ'!$C$3)*1157)+'ДОХОДЫ'!$C$5*500+'ДОХОДЫ'!$C$6*1500+1*3000+1*8000+0*15000)-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+(IF('РАСХОДЫ'!$C$4="Да",0,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0.15))+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0.1))-0.04*((ROUND(30*'ДОХОДЫ'!$C$2*(1-'РАСХОДЫ'!$C$3),0))*('ДОХОДЫ'!$C$3*290+(1-'ДОХОДЫ'!$C$3)*377)+(ROUND(30*'ДОХОДЫ'!$C$2*'РАСХОДЫ'!$C$3,0))*('ДОХОДЫ'!$C$3*590+(1-'ДОХОДЫ'!$C$3)*767)+(MAX(ROUND(30*(1-'ДОХОДЫ'!$C$2)*(1-'РАСХОДЫ'!$C$3),0),0))*('ДОХОДЫ'!$C$3*490+(1-'ДОХОДЫ'!$C$3)*637)+(MAX(ROUND(30*(1-'ДОХОДЫ'!$C$2)*'РАСХОДЫ'!$C$3,0)-(1*2+1*4+0*6),0))*('ДОХОДЫ'!$C$3*890+(1-'ДОХОДЫ'!$C$3)*1157)+'ДОХОДЫ'!$C$5*500+'ДОХОДЫ'!$C$6*1500+1*3000+1*8000+0*15000)</f>
        <v/>
      </c>
      <c r="E31" s="29">
        <f>((ROUND(30*'ДОХОДЫ'!$C$2*(1-'РАСХОДЫ'!$C$3),0))*('ДОХОДЫ'!$C$3*290+(1-'ДОХОДЫ'!$C$3)*377)+(ROUND(30*'ДОХОДЫ'!$C$2*'РАСХОДЫ'!$C$3,0))*('ДОХОДЫ'!$C$3*590+(1-'ДОХОДЫ'!$C$3)*767)+(MAX(ROUND(30*(1-'ДОХОДЫ'!$C$2)*(1-'РАСХОДЫ'!$C$3),0),0))*('ДОХОДЫ'!$C$3*490+(1-'ДОХОДЫ'!$C$3)*637)+(MAX(ROUND(30*(1-'ДОХОДЫ'!$C$2)*'РАСХОДЫ'!$C$3,0)-(0*2+1*4+1*6),0))*('ДОХОДЫ'!$C$3*890+(1-'ДОХОДЫ'!$C$3)*1157)+'ДОХОДЫ'!$C$5*500+'ДОХОДЫ'!$C$6*1500+0*3000+1*8000+1*15000)-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+(IF('РАСХОДЫ'!$C$4="Да",0,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0.15))+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0.1))-0.04*((ROUND(30*'ДОХОДЫ'!$C$2*(1-'РАСХОДЫ'!$C$3),0))*('ДОХОДЫ'!$C$3*290+(1-'ДОХОДЫ'!$C$3)*377)+(ROUND(30*'ДОХОДЫ'!$C$2*'РАСХОДЫ'!$C$3,0))*('ДОХОДЫ'!$C$3*590+(1-'ДОХОДЫ'!$C$3)*767)+(MAX(ROUND(30*(1-'ДОХОДЫ'!$C$2)*(1-'РАСХОДЫ'!$C$3),0),0))*('ДОХОДЫ'!$C$3*490+(1-'ДОХОДЫ'!$C$3)*637)+(MAX(ROUND(30*(1-'ДОХОДЫ'!$C$2)*'РАСХОДЫ'!$C$3,0)-(0*2+1*4+1*6),0))*('ДОХОДЫ'!$C$3*890+(1-'ДОХОДЫ'!$C$3)*1157)+'ДОХОДЫ'!$C$5*500+'ДОХОДЫ'!$C$6*1500+0*3000+1*8000+1*15000)</f>
        <v/>
      </c>
      <c r="F31" s="29">
        <f>((ROUND(30*'ДОХОДЫ'!$C$2*(1-'РАСХОДЫ'!$C$3),0))*('ДОХОДЫ'!$C$3*290+(1-'ДОХОДЫ'!$C$3)*377)+(ROUND(30*'ДОХОДЫ'!$C$2*'РАСХОДЫ'!$C$3,0))*('ДОХОДЫ'!$C$3*590+(1-'ДОХОДЫ'!$C$3)*767)+(MAX(ROUND(30*(1-'ДОХОДЫ'!$C$2)*(1-'РАСХОДЫ'!$C$3),0),0))*('ДОХОДЫ'!$C$3*490+(1-'ДОХОДЫ'!$C$3)*637)+(MAX(ROUND(30*(1-'ДОХОДЫ'!$C$2)*'РАСХОДЫ'!$C$3,0)-(1*2+1*4+1*6),0))*('ДОХОДЫ'!$C$3*890+(1-'ДОХОДЫ'!$C$3)*1157)+'ДОХОДЫ'!$C$5*500+'ДОХОДЫ'!$C$6*1500+1*3000+1*8000+1*15000)-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+(IF('РАСХОДЫ'!$C$4="Да",0,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0.15))+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0.1))-0.04*((ROUND(30*'ДОХОДЫ'!$C$2*(1-'РАСХОДЫ'!$C$3),0))*('ДОХОДЫ'!$C$3*290+(1-'ДОХОДЫ'!$C$3)*377)+(ROUND(30*'ДОХОДЫ'!$C$2*'РАСХОДЫ'!$C$3,0))*('ДОХОДЫ'!$C$3*590+(1-'ДОХОДЫ'!$C$3)*767)+(MAX(ROUND(30*(1-'ДОХОДЫ'!$C$2)*(1-'РАСХОДЫ'!$C$3),0),0))*('ДОХОДЫ'!$C$3*490+(1-'ДОХОДЫ'!$C$3)*637)+(MAX(ROUND(30*(1-'ДОХОДЫ'!$C$2)*'РАСХОДЫ'!$C$3,0)-(1*2+1*4+1*6),0))*('ДОХОДЫ'!$C$3*890+(1-'ДОХОДЫ'!$C$3)*1157)+'ДОХОДЫ'!$C$5*500+'ДОХОДЫ'!$C$6*1500+1*3000+1*8000+1*15000)</f>
        <v/>
      </c>
    </row>
    <row r="32">
      <c r="A32" s="33" t="n">
        <v>40</v>
      </c>
      <c r="B32" s="29">
        <f>((ROUND(40*'ДОХОДЫ'!$C$2*(1-'РАСХОДЫ'!$C$3),0))*('ДОХОДЫ'!$C$3*290+(1-'ДОХОДЫ'!$C$3)*377)+(ROUND(40*'ДОХОДЫ'!$C$2*'РАСХОДЫ'!$C$3,0))*('ДОХОДЫ'!$C$3*590+(1-'ДОХОДЫ'!$C$3)*767)+(MAX(ROUND(40*(1-'ДОХОДЫ'!$C$2)*(1-'РАСХОДЫ'!$C$3),0),0))*('ДОХОДЫ'!$C$3*490+(1-'ДОХОДЫ'!$C$3)*637)+(MAX(ROUND(40*(1-'ДОХОДЫ'!$C$2)*'РАСХОДЫ'!$C$3,0)-(0*2+0*4+0*6),0))*('ДОХОДЫ'!$C$3*890+(1-'ДОХОДЫ'!$C$3)*1157)+'ДОХОДЫ'!$C$5*500+'ДОХОДЫ'!$C$6*1500+0*3000+0*8000+0*15000)-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+(IF('РАСХОДЫ'!$C$4="Да",0,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0.15))+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0.1))-0.04*((ROUND(40*'ДОХОДЫ'!$C$2*(1-'РАСХОДЫ'!$C$3),0))*('ДОХОДЫ'!$C$3*290+(1-'ДОХОДЫ'!$C$3)*377)+(ROUND(40*'ДОХОДЫ'!$C$2*'РАСХОДЫ'!$C$3,0))*('ДОХОДЫ'!$C$3*590+(1-'ДОХОДЫ'!$C$3)*767)+(MAX(ROUND(40*(1-'ДОХОДЫ'!$C$2)*(1-'РАСХОДЫ'!$C$3),0),0))*('ДОХОДЫ'!$C$3*490+(1-'ДОХОДЫ'!$C$3)*637)+(MAX(ROUND(40*(1-'ДОХОДЫ'!$C$2)*'РАСХОДЫ'!$C$3,0)-(0*2+0*4+0*6),0))*('ДОХОДЫ'!$C$3*890+(1-'ДОХОДЫ'!$C$3)*1157)+'ДОХОДЫ'!$C$5*500+'ДОХОДЫ'!$C$6*1500+0*3000+0*8000+0*15000)</f>
        <v/>
      </c>
      <c r="C32" s="29">
        <f>((ROUND(40*'ДОХОДЫ'!$C$2*(1-'РАСХОДЫ'!$C$3),0))*('ДОХОДЫ'!$C$3*290+(1-'ДОХОДЫ'!$C$3)*377)+(ROUND(40*'ДОХОДЫ'!$C$2*'РАСХОДЫ'!$C$3,0))*('ДОХОДЫ'!$C$3*590+(1-'ДОХОДЫ'!$C$3)*767)+(MAX(ROUND(40*(1-'ДОХОДЫ'!$C$2)*(1-'РАСХОДЫ'!$C$3),0),0))*('ДОХОДЫ'!$C$3*490+(1-'ДОХОДЫ'!$C$3)*637)+(MAX(ROUND(40*(1-'ДОХОДЫ'!$C$2)*'РАСХОДЫ'!$C$3,0)-(1*2+0*4+0*6),0))*('ДОХОДЫ'!$C$3*890+(1-'ДОХОДЫ'!$C$3)*1157)+'ДОХОДЫ'!$C$5*500+'ДОХОДЫ'!$C$6*1500+1*3000+0*8000+0*15000)-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+(IF('РАСХОДЫ'!$C$4="Да",0,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0.15))+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0.1))-0.04*((ROUND(40*'ДОХОДЫ'!$C$2*(1-'РАСХОДЫ'!$C$3),0))*('ДОХОДЫ'!$C$3*290+(1-'ДОХОДЫ'!$C$3)*377)+(ROUND(40*'ДОХОДЫ'!$C$2*'РАСХОДЫ'!$C$3,0))*('ДОХОДЫ'!$C$3*590+(1-'ДОХОДЫ'!$C$3)*767)+(MAX(ROUND(40*(1-'ДОХОДЫ'!$C$2)*(1-'РАСХОДЫ'!$C$3),0),0))*('ДОХОДЫ'!$C$3*490+(1-'ДОХОДЫ'!$C$3)*637)+(MAX(ROUND(40*(1-'ДОХОДЫ'!$C$2)*'РАСХОДЫ'!$C$3,0)-(1*2+0*4+0*6),0))*('ДОХОДЫ'!$C$3*890+(1-'ДОХОДЫ'!$C$3)*1157)+'ДОХОДЫ'!$C$5*500+'ДОХОДЫ'!$C$6*1500+1*3000+0*8000+0*15000)</f>
        <v/>
      </c>
      <c r="D32" s="29">
        <f>((ROUND(40*'ДОХОДЫ'!$C$2*(1-'РАСХОДЫ'!$C$3),0))*('ДОХОДЫ'!$C$3*290+(1-'ДОХОДЫ'!$C$3)*377)+(ROUND(40*'ДОХОДЫ'!$C$2*'РАСХОДЫ'!$C$3,0))*('ДОХОДЫ'!$C$3*590+(1-'ДОХОДЫ'!$C$3)*767)+(MAX(ROUND(40*(1-'ДОХОДЫ'!$C$2)*(1-'РАСХОДЫ'!$C$3),0),0))*('ДОХОДЫ'!$C$3*490+(1-'ДОХОДЫ'!$C$3)*637)+(MAX(ROUND(40*(1-'ДОХОДЫ'!$C$2)*'РАСХОДЫ'!$C$3,0)-(1*2+1*4+0*6),0))*('ДОХОДЫ'!$C$3*890+(1-'ДОХОДЫ'!$C$3)*1157)+'ДОХОДЫ'!$C$5*500+'ДОХОДЫ'!$C$6*1500+1*3000+1*8000+0*15000)-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+(IF('РАСХОДЫ'!$C$4="Да",0,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0.15))+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0.1))-0.04*((ROUND(40*'ДОХОДЫ'!$C$2*(1-'РАСХОДЫ'!$C$3),0))*('ДОХОДЫ'!$C$3*290+(1-'ДОХОДЫ'!$C$3)*377)+(ROUND(40*'ДОХОДЫ'!$C$2*'РАСХОДЫ'!$C$3,0))*('ДОХОДЫ'!$C$3*590+(1-'ДОХОДЫ'!$C$3)*767)+(MAX(ROUND(40*(1-'ДОХОДЫ'!$C$2)*(1-'РАСХОДЫ'!$C$3),0),0))*('ДОХОДЫ'!$C$3*490+(1-'ДОХОДЫ'!$C$3)*637)+(MAX(ROUND(40*(1-'ДОХОДЫ'!$C$2)*'РАСХОДЫ'!$C$3,0)-(1*2+1*4+0*6),0))*('ДОХОДЫ'!$C$3*890+(1-'ДОХОДЫ'!$C$3)*1157)+'ДОХОДЫ'!$C$5*500+'ДОХОДЫ'!$C$6*1500+1*3000+1*8000+0*15000)</f>
        <v/>
      </c>
      <c r="E32" s="29">
        <f>((ROUND(40*'ДОХОДЫ'!$C$2*(1-'РАСХОДЫ'!$C$3),0))*('ДОХОДЫ'!$C$3*290+(1-'ДОХОДЫ'!$C$3)*377)+(ROUND(40*'ДОХОДЫ'!$C$2*'РАСХОДЫ'!$C$3,0))*('ДОХОДЫ'!$C$3*590+(1-'ДОХОДЫ'!$C$3)*767)+(MAX(ROUND(40*(1-'ДОХОДЫ'!$C$2)*(1-'РАСХОДЫ'!$C$3),0),0))*('ДОХОДЫ'!$C$3*490+(1-'ДОХОДЫ'!$C$3)*637)+(MAX(ROUND(40*(1-'ДОХОДЫ'!$C$2)*'РАСХОДЫ'!$C$3,0)-(0*2+1*4+1*6),0))*('ДОХОДЫ'!$C$3*890+(1-'ДОХОДЫ'!$C$3)*1157)+'ДОХОДЫ'!$C$5*500+'ДОХОДЫ'!$C$6*1500+0*3000+1*8000+1*15000)-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+(IF('РАСХОДЫ'!$C$4="Да",0,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0.15))+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0.1))-0.04*((ROUND(40*'ДОХОДЫ'!$C$2*(1-'РАСХОДЫ'!$C$3),0))*('ДОХОДЫ'!$C$3*290+(1-'ДОХОДЫ'!$C$3)*377)+(ROUND(40*'ДОХОДЫ'!$C$2*'РАСХОДЫ'!$C$3,0))*('ДОХОДЫ'!$C$3*590+(1-'ДОХОДЫ'!$C$3)*767)+(MAX(ROUND(40*(1-'ДОХОДЫ'!$C$2)*(1-'РАСХОДЫ'!$C$3),0),0))*('ДОХОДЫ'!$C$3*490+(1-'ДОХОДЫ'!$C$3)*637)+(MAX(ROUND(40*(1-'ДОХОДЫ'!$C$2)*'РАСХОДЫ'!$C$3,0)-(0*2+1*4+1*6),0))*('ДОХОДЫ'!$C$3*890+(1-'ДОХОДЫ'!$C$3)*1157)+'ДОХОДЫ'!$C$5*500+'ДОХОДЫ'!$C$6*1500+0*3000+1*8000+1*15000)</f>
        <v/>
      </c>
      <c r="F32" s="29">
        <f>((ROUND(40*'ДОХОДЫ'!$C$2*(1-'РАСХОДЫ'!$C$3),0))*('ДОХОДЫ'!$C$3*290+(1-'ДОХОДЫ'!$C$3)*377)+(ROUND(40*'ДОХОДЫ'!$C$2*'РАСХОДЫ'!$C$3,0))*('ДОХОДЫ'!$C$3*590+(1-'ДОХОДЫ'!$C$3)*767)+(MAX(ROUND(40*(1-'ДОХОДЫ'!$C$2)*(1-'РАСХОДЫ'!$C$3),0),0))*('ДОХОДЫ'!$C$3*490+(1-'ДОХОДЫ'!$C$3)*637)+(MAX(ROUND(40*(1-'ДОХОДЫ'!$C$2)*'РАСХОДЫ'!$C$3,0)-(1*2+1*4+1*6),0))*('ДОХОДЫ'!$C$3*890+(1-'ДОХОДЫ'!$C$3)*1157)+'ДОХОДЫ'!$C$5*500+'ДОХОДЫ'!$C$6*1500+1*3000+1*8000+1*15000)-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+(IF('РАСХОДЫ'!$C$4="Да",0,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0.15))+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0.1))-0.04*((ROUND(40*'ДОХОДЫ'!$C$2*(1-'РАСХОДЫ'!$C$3),0))*('ДОХОДЫ'!$C$3*290+(1-'ДОХОДЫ'!$C$3)*377)+(ROUND(40*'ДОХОДЫ'!$C$2*'РАСХОДЫ'!$C$3,0))*('ДОХОДЫ'!$C$3*590+(1-'ДОХОДЫ'!$C$3)*767)+(MAX(ROUND(40*(1-'ДОХОДЫ'!$C$2)*(1-'РАСХОДЫ'!$C$3),0),0))*('ДОХОДЫ'!$C$3*490+(1-'ДОХОДЫ'!$C$3)*637)+(MAX(ROUND(40*(1-'ДОХОДЫ'!$C$2)*'РАСХОДЫ'!$C$3,0)-(1*2+1*4+1*6),0))*('ДОХОДЫ'!$C$3*890+(1-'ДОХОДЫ'!$C$3)*1157)+'ДОХОДЫ'!$C$5*500+'ДОХОДЫ'!$C$6*1500+1*3000+1*8000+1*15000)</f>
        <v/>
      </c>
    </row>
    <row r="33">
      <c r="A33" s="33" t="n">
        <v>50</v>
      </c>
      <c r="B33" s="29">
        <f>((ROUND(50*'ДОХОДЫ'!$C$2*(1-'РАСХОДЫ'!$C$3),0))*('ДОХОДЫ'!$C$3*290+(1-'ДОХОДЫ'!$C$3)*377)+(ROUND(50*'ДОХОДЫ'!$C$2*'РАСХОДЫ'!$C$3,0))*('ДОХОДЫ'!$C$3*590+(1-'ДОХОДЫ'!$C$3)*767)+(MAX(ROUND(50*(1-'ДОХОДЫ'!$C$2)*(1-'РАСХОДЫ'!$C$3),0),0))*('ДОХОДЫ'!$C$3*490+(1-'ДОХОДЫ'!$C$3)*637)+(MAX(ROUND(50*(1-'ДОХОДЫ'!$C$2)*'РАСХОДЫ'!$C$3,0)-(0*2+0*4+0*6),0))*('ДОХОДЫ'!$C$3*890+(1-'ДОХОДЫ'!$C$3)*1157)+'ДОХОДЫ'!$C$5*500+'ДОХОДЫ'!$C$6*1500+0*3000+0*8000+0*15000)-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+(IF('РАСХОДЫ'!$C$4="Да",0,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0.15))+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0.1))-0.04*((ROUND(50*'ДОХОДЫ'!$C$2*(1-'РАСХОДЫ'!$C$3),0))*('ДОХОДЫ'!$C$3*290+(1-'ДОХОДЫ'!$C$3)*377)+(ROUND(50*'ДОХОДЫ'!$C$2*'РАСХОДЫ'!$C$3,0))*('ДОХОДЫ'!$C$3*590+(1-'ДОХОДЫ'!$C$3)*767)+(MAX(ROUND(50*(1-'ДОХОДЫ'!$C$2)*(1-'РАСХОДЫ'!$C$3),0),0))*('ДОХОДЫ'!$C$3*490+(1-'ДОХОДЫ'!$C$3)*637)+(MAX(ROUND(50*(1-'ДОХОДЫ'!$C$2)*'РАСХОДЫ'!$C$3,0)-(0*2+0*4+0*6),0))*('ДОХОДЫ'!$C$3*890+(1-'ДОХОДЫ'!$C$3)*1157)+'ДОХОДЫ'!$C$5*500+'ДОХОДЫ'!$C$6*1500+0*3000+0*8000+0*15000)</f>
        <v/>
      </c>
      <c r="C33" s="29">
        <f>((ROUND(50*'ДОХОДЫ'!$C$2*(1-'РАСХОДЫ'!$C$3),0))*('ДОХОДЫ'!$C$3*290+(1-'ДОХОДЫ'!$C$3)*377)+(ROUND(50*'ДОХОДЫ'!$C$2*'РАСХОДЫ'!$C$3,0))*('ДОХОДЫ'!$C$3*590+(1-'ДОХОДЫ'!$C$3)*767)+(MAX(ROUND(50*(1-'ДОХОДЫ'!$C$2)*(1-'РАСХОДЫ'!$C$3),0),0))*('ДОХОДЫ'!$C$3*490+(1-'ДОХОДЫ'!$C$3)*637)+(MAX(ROUND(50*(1-'ДОХОДЫ'!$C$2)*'РАСХОДЫ'!$C$3,0)-(1*2+0*4+0*6),0))*('ДОХОДЫ'!$C$3*890+(1-'ДОХОДЫ'!$C$3)*1157)+'ДОХОДЫ'!$C$5*500+'ДОХОДЫ'!$C$6*1500+1*3000+0*8000+0*15000)-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+(IF('РАСХОДЫ'!$C$4="Да",0,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0.15))+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0.1))-0.04*((ROUND(50*'ДОХОДЫ'!$C$2*(1-'РАСХОДЫ'!$C$3),0))*('ДОХОДЫ'!$C$3*290+(1-'ДОХОДЫ'!$C$3)*377)+(ROUND(50*'ДОХОДЫ'!$C$2*'РАСХОДЫ'!$C$3,0))*('ДОХОДЫ'!$C$3*590+(1-'ДОХОДЫ'!$C$3)*767)+(MAX(ROUND(50*(1-'ДОХОДЫ'!$C$2)*(1-'РАСХОДЫ'!$C$3),0),0))*('ДОХОДЫ'!$C$3*490+(1-'ДОХОДЫ'!$C$3)*637)+(MAX(ROUND(50*(1-'ДОХОДЫ'!$C$2)*'РАСХОДЫ'!$C$3,0)-(1*2+0*4+0*6),0))*('ДОХОДЫ'!$C$3*890+(1-'ДОХОДЫ'!$C$3)*1157)+'ДОХОДЫ'!$C$5*500+'ДОХОДЫ'!$C$6*1500+1*3000+0*8000+0*15000)</f>
        <v/>
      </c>
      <c r="D33" s="29">
        <f>((ROUND(50*'ДОХОДЫ'!$C$2*(1-'РАСХОДЫ'!$C$3),0))*('ДОХОДЫ'!$C$3*290+(1-'ДОХОДЫ'!$C$3)*377)+(ROUND(50*'ДОХОДЫ'!$C$2*'РАСХОДЫ'!$C$3,0))*('ДОХОДЫ'!$C$3*590+(1-'ДОХОДЫ'!$C$3)*767)+(MAX(ROUND(50*(1-'ДОХОДЫ'!$C$2)*(1-'РАСХОДЫ'!$C$3),0),0))*('ДОХОДЫ'!$C$3*490+(1-'ДОХОДЫ'!$C$3)*637)+(MAX(ROUND(50*(1-'ДОХОДЫ'!$C$2)*'РАСХОДЫ'!$C$3,0)-(1*2+1*4+0*6),0))*('ДОХОДЫ'!$C$3*890+(1-'ДОХОДЫ'!$C$3)*1157)+'ДОХОДЫ'!$C$5*500+'ДОХОДЫ'!$C$6*1500+1*3000+1*8000+0*15000)-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+(IF('РАСХОДЫ'!$C$4="Да",0,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0.15))+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0.1))-0.04*((ROUND(50*'ДОХОДЫ'!$C$2*(1-'РАСХОДЫ'!$C$3),0))*('ДОХОДЫ'!$C$3*290+(1-'ДОХОДЫ'!$C$3)*377)+(ROUND(50*'ДОХОДЫ'!$C$2*'РАСХОДЫ'!$C$3,0))*('ДОХОДЫ'!$C$3*590+(1-'ДОХОДЫ'!$C$3)*767)+(MAX(ROUND(50*(1-'ДОХОДЫ'!$C$2)*(1-'РАСХОДЫ'!$C$3),0),0))*('ДОХОДЫ'!$C$3*490+(1-'ДОХОДЫ'!$C$3)*637)+(MAX(ROUND(50*(1-'ДОХОДЫ'!$C$2)*'РАСХОДЫ'!$C$3,0)-(1*2+1*4+0*6),0))*('ДОХОДЫ'!$C$3*890+(1-'ДОХОДЫ'!$C$3)*1157)+'ДОХОДЫ'!$C$5*500+'ДОХОДЫ'!$C$6*1500+1*3000+1*8000+0*15000)</f>
        <v/>
      </c>
      <c r="E33" s="29">
        <f>((ROUND(50*'ДОХОДЫ'!$C$2*(1-'РАСХОДЫ'!$C$3),0))*('ДОХОДЫ'!$C$3*290+(1-'ДОХОДЫ'!$C$3)*377)+(ROUND(50*'ДОХОДЫ'!$C$2*'РАСХОДЫ'!$C$3,0))*('ДОХОДЫ'!$C$3*590+(1-'ДОХОДЫ'!$C$3)*767)+(MAX(ROUND(50*(1-'ДОХОДЫ'!$C$2)*(1-'РАСХОДЫ'!$C$3),0),0))*('ДОХОДЫ'!$C$3*490+(1-'ДОХОДЫ'!$C$3)*637)+(MAX(ROUND(50*(1-'ДОХОДЫ'!$C$2)*'РАСХОДЫ'!$C$3,0)-(0*2+1*4+1*6),0))*('ДОХОДЫ'!$C$3*890+(1-'ДОХОДЫ'!$C$3)*1157)+'ДОХОДЫ'!$C$5*500+'ДОХОДЫ'!$C$6*1500+0*3000+1*8000+1*15000)-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+(IF('РАСХОДЫ'!$C$4="Да",0,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0.15))+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0.1))-0.04*((ROUND(50*'ДОХОДЫ'!$C$2*(1-'РАСХОДЫ'!$C$3),0))*('ДОХОДЫ'!$C$3*290+(1-'ДОХОДЫ'!$C$3)*377)+(ROUND(50*'ДОХОДЫ'!$C$2*'РАСХОДЫ'!$C$3,0))*('ДОХОДЫ'!$C$3*590+(1-'ДОХОДЫ'!$C$3)*767)+(MAX(ROUND(50*(1-'ДОХОДЫ'!$C$2)*(1-'РАСХОДЫ'!$C$3),0),0))*('ДОХОДЫ'!$C$3*490+(1-'ДОХОДЫ'!$C$3)*637)+(MAX(ROUND(50*(1-'ДОХОДЫ'!$C$2)*'РАСХОДЫ'!$C$3,0)-(0*2+1*4+1*6),0))*('ДОХОДЫ'!$C$3*890+(1-'ДОХОДЫ'!$C$3)*1157)+'ДОХОДЫ'!$C$5*500+'ДОХОДЫ'!$C$6*1500+0*3000+1*8000+1*15000)</f>
        <v/>
      </c>
      <c r="F33" s="29">
        <f>((ROUND(50*'ДОХОДЫ'!$C$2*(1-'РАСХОДЫ'!$C$3),0))*('ДОХОДЫ'!$C$3*290+(1-'ДОХОДЫ'!$C$3)*377)+(ROUND(50*'ДОХОДЫ'!$C$2*'РАСХОДЫ'!$C$3,0))*('ДОХОДЫ'!$C$3*590+(1-'ДОХОДЫ'!$C$3)*767)+(MAX(ROUND(50*(1-'ДОХОДЫ'!$C$2)*(1-'РАСХОДЫ'!$C$3),0),0))*('ДОХОДЫ'!$C$3*490+(1-'ДОХОДЫ'!$C$3)*637)+(MAX(ROUND(50*(1-'ДОХОДЫ'!$C$2)*'РАСХОДЫ'!$C$3,0)-(1*2+1*4+1*6),0))*('ДОХОДЫ'!$C$3*890+(1-'ДОХОДЫ'!$C$3)*1157)+'ДОХОДЫ'!$C$5*500+'ДОХОДЫ'!$C$6*1500+1*3000+1*8000+1*15000)-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+(IF('РАСХОДЫ'!$C$4="Да",0,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0.15))+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0.1))-0.04*((ROUND(50*'ДОХОДЫ'!$C$2*(1-'РАСХОДЫ'!$C$3),0))*('ДОХОДЫ'!$C$3*290+(1-'ДОХОДЫ'!$C$3)*377)+(ROUND(50*'ДОХОДЫ'!$C$2*'РАСХОДЫ'!$C$3,0))*('ДОХОДЫ'!$C$3*590+(1-'ДОХОДЫ'!$C$3)*767)+(MAX(ROUND(50*(1-'ДОХОДЫ'!$C$2)*(1-'РАСХОДЫ'!$C$3),0),0))*('ДОХОДЫ'!$C$3*490+(1-'ДОХОДЫ'!$C$3)*637)+(MAX(ROUND(50*(1-'ДОХОДЫ'!$C$2)*'РАСХОДЫ'!$C$3,0)-(1*2+1*4+1*6),0))*('ДОХОДЫ'!$C$3*890+(1-'ДОХОДЫ'!$C$3)*1157)+'ДОХОДЫ'!$C$5*500+'ДОХОДЫ'!$C$6*1500+1*3000+1*8000+1*15000)</f>
        <v/>
      </c>
    </row>
    <row r="34">
      <c r="A34" s="33" t="n">
        <v>60</v>
      </c>
      <c r="B34" s="29">
        <f>((ROUND(60*'ДОХОДЫ'!$C$2*(1-'РАСХОДЫ'!$C$3),0))*('ДОХОДЫ'!$C$3*290+(1-'ДОХОДЫ'!$C$3)*377)+(ROUND(60*'ДОХОДЫ'!$C$2*'РАСХОДЫ'!$C$3,0))*('ДОХОДЫ'!$C$3*590+(1-'ДОХОДЫ'!$C$3)*767)+(MAX(ROUND(60*(1-'ДОХОДЫ'!$C$2)*(1-'РАСХОДЫ'!$C$3),0),0))*('ДОХОДЫ'!$C$3*490+(1-'ДОХОДЫ'!$C$3)*637)+(MAX(ROUND(60*(1-'ДОХОДЫ'!$C$2)*'РАСХОДЫ'!$C$3,0)-(0*2+0*4+0*6),0))*('ДОХОДЫ'!$C$3*890+(1-'ДОХОДЫ'!$C$3)*1157)+'ДОХОДЫ'!$C$5*500+'ДОХОДЫ'!$C$6*1500+0*3000+0*8000+0*15000)-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+(IF('РАСХОДЫ'!$C$4="Да",0,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0.15))+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0.1))-0.04*((ROUND(60*'ДОХОДЫ'!$C$2*(1-'РАСХОДЫ'!$C$3),0))*('ДОХОДЫ'!$C$3*290+(1-'ДОХОДЫ'!$C$3)*377)+(ROUND(60*'ДОХОДЫ'!$C$2*'РАСХОДЫ'!$C$3,0))*('ДОХОДЫ'!$C$3*590+(1-'ДОХОДЫ'!$C$3)*767)+(MAX(ROUND(60*(1-'ДОХОДЫ'!$C$2)*(1-'РАСХОДЫ'!$C$3),0),0))*('ДОХОДЫ'!$C$3*490+(1-'ДОХОДЫ'!$C$3)*637)+(MAX(ROUND(60*(1-'ДОХОДЫ'!$C$2)*'РАСХОДЫ'!$C$3,0)-(0*2+0*4+0*6),0))*('ДОХОДЫ'!$C$3*890+(1-'ДОХОДЫ'!$C$3)*1157)+'ДОХОДЫ'!$C$5*500+'ДОХОДЫ'!$C$6*1500+0*3000+0*8000+0*15000)</f>
        <v/>
      </c>
      <c r="C34" s="29">
        <f>((ROUND(60*'ДОХОДЫ'!$C$2*(1-'РАСХОДЫ'!$C$3),0))*('ДОХОДЫ'!$C$3*290+(1-'ДОХОДЫ'!$C$3)*377)+(ROUND(60*'ДОХОДЫ'!$C$2*'РАСХОДЫ'!$C$3,0))*('ДОХОДЫ'!$C$3*590+(1-'ДОХОДЫ'!$C$3)*767)+(MAX(ROUND(60*(1-'ДОХОДЫ'!$C$2)*(1-'РАСХОДЫ'!$C$3),0),0))*('ДОХОДЫ'!$C$3*490+(1-'ДОХОДЫ'!$C$3)*637)+(MAX(ROUND(60*(1-'ДОХОДЫ'!$C$2)*'РАСХОДЫ'!$C$3,0)-(1*2+0*4+0*6),0))*('ДОХОДЫ'!$C$3*890+(1-'ДОХОДЫ'!$C$3)*1157)+'ДОХОДЫ'!$C$5*500+'ДОХОДЫ'!$C$6*1500+1*3000+0*8000+0*15000)-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+(IF('РАСХОДЫ'!$C$4="Да",0,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0.15))+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0.1))-0.04*((ROUND(60*'ДОХОДЫ'!$C$2*(1-'РАСХОДЫ'!$C$3),0))*('ДОХОДЫ'!$C$3*290+(1-'ДОХОДЫ'!$C$3)*377)+(ROUND(60*'ДОХОДЫ'!$C$2*'РАСХОДЫ'!$C$3,0))*('ДОХОДЫ'!$C$3*590+(1-'ДОХОДЫ'!$C$3)*767)+(MAX(ROUND(60*(1-'ДОХОДЫ'!$C$2)*(1-'РАСХОДЫ'!$C$3),0),0))*('ДОХОДЫ'!$C$3*490+(1-'ДОХОДЫ'!$C$3)*637)+(MAX(ROUND(60*(1-'ДОХОДЫ'!$C$2)*'РАСХОДЫ'!$C$3,0)-(1*2+0*4+0*6),0))*('ДОХОДЫ'!$C$3*890+(1-'ДОХОДЫ'!$C$3)*1157)+'ДОХОДЫ'!$C$5*500+'ДОХОДЫ'!$C$6*1500+1*3000+0*8000+0*15000)</f>
        <v/>
      </c>
      <c r="D34" s="29">
        <f>((ROUND(60*'ДОХОДЫ'!$C$2*(1-'РАСХОДЫ'!$C$3),0))*('ДОХОДЫ'!$C$3*290+(1-'ДОХОДЫ'!$C$3)*377)+(ROUND(60*'ДОХОДЫ'!$C$2*'РАСХОДЫ'!$C$3,0))*('ДОХОДЫ'!$C$3*590+(1-'ДОХОДЫ'!$C$3)*767)+(MAX(ROUND(60*(1-'ДОХОДЫ'!$C$2)*(1-'РАСХОДЫ'!$C$3),0),0))*('ДОХОДЫ'!$C$3*490+(1-'ДОХОДЫ'!$C$3)*637)+(MAX(ROUND(60*(1-'ДОХОДЫ'!$C$2)*'РАСХОДЫ'!$C$3,0)-(1*2+1*4+0*6),0))*('ДОХОДЫ'!$C$3*890+(1-'ДОХОДЫ'!$C$3)*1157)+'ДОХОДЫ'!$C$5*500+'ДОХОДЫ'!$C$6*1500+1*3000+1*8000+0*15000)-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+(IF('РАСХОДЫ'!$C$4="Да",0,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0.15))+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0.1))-0.04*((ROUND(60*'ДОХОДЫ'!$C$2*(1-'РАСХОДЫ'!$C$3),0))*('ДОХОДЫ'!$C$3*290+(1-'ДОХОДЫ'!$C$3)*377)+(ROUND(60*'ДОХОДЫ'!$C$2*'РАСХОДЫ'!$C$3,0))*('ДОХОДЫ'!$C$3*590+(1-'ДОХОДЫ'!$C$3)*767)+(MAX(ROUND(60*(1-'ДОХОДЫ'!$C$2)*(1-'РАСХОДЫ'!$C$3),0),0))*('ДОХОДЫ'!$C$3*490+(1-'ДОХОДЫ'!$C$3)*637)+(MAX(ROUND(60*(1-'ДОХОДЫ'!$C$2)*'РАСХОДЫ'!$C$3,0)-(1*2+1*4+0*6),0))*('ДОХОДЫ'!$C$3*890+(1-'ДОХОДЫ'!$C$3)*1157)+'ДОХОДЫ'!$C$5*500+'ДОХОДЫ'!$C$6*1500+1*3000+1*8000+0*15000)</f>
        <v/>
      </c>
      <c r="E34" s="29">
        <f>((ROUND(60*'ДОХОДЫ'!$C$2*(1-'РАСХОДЫ'!$C$3),0))*('ДОХОДЫ'!$C$3*290+(1-'ДОХОДЫ'!$C$3)*377)+(ROUND(60*'ДОХОДЫ'!$C$2*'РАСХОДЫ'!$C$3,0))*('ДОХОДЫ'!$C$3*590+(1-'ДОХОДЫ'!$C$3)*767)+(MAX(ROUND(60*(1-'ДОХОДЫ'!$C$2)*(1-'РАСХОДЫ'!$C$3),0),0))*('ДОХОДЫ'!$C$3*490+(1-'ДОХОДЫ'!$C$3)*637)+(MAX(ROUND(60*(1-'ДОХОДЫ'!$C$2)*'РАСХОДЫ'!$C$3,0)-(0*2+1*4+1*6),0))*('ДОХОДЫ'!$C$3*890+(1-'ДОХОДЫ'!$C$3)*1157)+'ДОХОДЫ'!$C$5*500+'ДОХОДЫ'!$C$6*1500+0*3000+1*8000+1*15000)-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+(IF('РАСХОДЫ'!$C$4="Да",0,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0.15))+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0.1))-0.04*((ROUND(60*'ДОХОДЫ'!$C$2*(1-'РАСХОДЫ'!$C$3),0))*('ДОХОДЫ'!$C$3*290+(1-'ДОХОДЫ'!$C$3)*377)+(ROUND(60*'ДОХОДЫ'!$C$2*'РАСХОДЫ'!$C$3,0))*('ДОХОДЫ'!$C$3*590+(1-'ДОХОДЫ'!$C$3)*767)+(MAX(ROUND(60*(1-'ДОХОДЫ'!$C$2)*(1-'РАСХОДЫ'!$C$3),0),0))*('ДОХОДЫ'!$C$3*490+(1-'ДОХОДЫ'!$C$3)*637)+(MAX(ROUND(60*(1-'ДОХОДЫ'!$C$2)*'РАСХОДЫ'!$C$3,0)-(0*2+1*4+1*6),0))*('ДОХОДЫ'!$C$3*890+(1-'ДОХОДЫ'!$C$3)*1157)+'ДОХОДЫ'!$C$5*500+'ДОХОДЫ'!$C$6*1500+0*3000+1*8000+1*15000)</f>
        <v/>
      </c>
      <c r="F34" s="29">
        <f>((ROUND(60*'ДОХОДЫ'!$C$2*(1-'РАСХОДЫ'!$C$3),0))*('ДОХОДЫ'!$C$3*290+(1-'ДОХОДЫ'!$C$3)*377)+(ROUND(60*'ДОХОДЫ'!$C$2*'РАСХОДЫ'!$C$3,0))*('ДОХОДЫ'!$C$3*590+(1-'ДОХОДЫ'!$C$3)*767)+(MAX(ROUND(60*(1-'ДОХОДЫ'!$C$2)*(1-'РАСХОДЫ'!$C$3),0),0))*('ДОХОДЫ'!$C$3*490+(1-'ДОХОДЫ'!$C$3)*637)+(MAX(ROUND(60*(1-'ДОХОДЫ'!$C$2)*'РАСХОДЫ'!$C$3,0)-(1*2+1*4+1*6),0))*('ДОХОДЫ'!$C$3*890+(1-'ДОХОДЫ'!$C$3)*1157)+'ДОХОДЫ'!$C$5*500+'ДОХОДЫ'!$C$6*1500+1*3000+1*8000+1*15000)-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+(IF('РАСХОДЫ'!$C$4="Да",0,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0.15))+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0.1))-0.04*((ROUND(60*'ДОХОДЫ'!$C$2*(1-'РАСХОДЫ'!$C$3),0))*('ДОХОДЫ'!$C$3*290+(1-'ДОХОДЫ'!$C$3)*377)+(ROUND(60*'ДОХОДЫ'!$C$2*'РАСХОДЫ'!$C$3,0))*('ДОХОДЫ'!$C$3*590+(1-'ДОХОДЫ'!$C$3)*767)+(MAX(ROUND(60*(1-'ДОХОДЫ'!$C$2)*(1-'РАСХОДЫ'!$C$3),0),0))*('ДОХОДЫ'!$C$3*490+(1-'ДОХОДЫ'!$C$3)*637)+(MAX(ROUND(60*(1-'ДОХОДЫ'!$C$2)*'РАСХОДЫ'!$C$3,0)-(1*2+1*4+1*6),0))*('ДОХОДЫ'!$C$3*890+(1-'ДОХОДЫ'!$C$3)*1157)+'ДОХОДЫ'!$C$5*500+'ДОХОДЫ'!$C$6*1500+1*3000+1*8000+1*15000)</f>
        <v/>
      </c>
    </row>
    <row r="35">
      <c r="A35" s="33" t="n">
        <v>70</v>
      </c>
      <c r="B35" s="29">
        <f>((ROUND(70*'ДОХОДЫ'!$C$2*(1-'РАСХОДЫ'!$C$3),0))*('ДОХОДЫ'!$C$3*290+(1-'ДОХОДЫ'!$C$3)*377)+(ROUND(70*'ДОХОДЫ'!$C$2*'РАСХОДЫ'!$C$3,0))*('ДОХОДЫ'!$C$3*590+(1-'ДОХОДЫ'!$C$3)*767)+(MAX(ROUND(70*(1-'ДОХОДЫ'!$C$2)*(1-'РАСХОДЫ'!$C$3),0),0))*('ДОХОДЫ'!$C$3*490+(1-'ДОХОДЫ'!$C$3)*637)+(MAX(ROUND(70*(1-'ДОХОДЫ'!$C$2)*'РАСХОДЫ'!$C$3,0)-(0*2+0*4+0*6),0))*('ДОХОДЫ'!$C$3*890+(1-'ДОХОДЫ'!$C$3)*1157)+'ДОХОДЫ'!$C$5*500+'ДОХОДЫ'!$C$6*1500+0*3000+0*8000+0*15000)-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+(IF('РАСХОДЫ'!$C$4="Да",0,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0.15))+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0.1))-0.04*((ROUND(70*'ДОХОДЫ'!$C$2*(1-'РАСХОДЫ'!$C$3),0))*('ДОХОДЫ'!$C$3*290+(1-'ДОХОДЫ'!$C$3)*377)+(ROUND(70*'ДОХОДЫ'!$C$2*'РАСХОДЫ'!$C$3,0))*('ДОХОДЫ'!$C$3*590+(1-'ДОХОДЫ'!$C$3)*767)+(MAX(ROUND(70*(1-'ДОХОДЫ'!$C$2)*(1-'РАСХОДЫ'!$C$3),0),0))*('ДОХОДЫ'!$C$3*490+(1-'ДОХОДЫ'!$C$3)*637)+(MAX(ROUND(70*(1-'ДОХОДЫ'!$C$2)*'РАСХОДЫ'!$C$3,0)-(0*2+0*4+0*6),0))*('ДОХОДЫ'!$C$3*890+(1-'ДОХОДЫ'!$C$3)*1157)+'ДОХОДЫ'!$C$5*500+'ДОХОДЫ'!$C$6*1500+0*3000+0*8000+0*15000)</f>
        <v/>
      </c>
      <c r="C35" s="29">
        <f>((ROUND(70*'ДОХОДЫ'!$C$2*(1-'РАСХОДЫ'!$C$3),0))*('ДОХОДЫ'!$C$3*290+(1-'ДОХОДЫ'!$C$3)*377)+(ROUND(70*'ДОХОДЫ'!$C$2*'РАСХОДЫ'!$C$3,0))*('ДОХОДЫ'!$C$3*590+(1-'ДОХОДЫ'!$C$3)*767)+(MAX(ROUND(70*(1-'ДОХОДЫ'!$C$2)*(1-'РАСХОДЫ'!$C$3),0),0))*('ДОХОДЫ'!$C$3*490+(1-'ДОХОДЫ'!$C$3)*637)+(MAX(ROUND(70*(1-'ДОХОДЫ'!$C$2)*'РАСХОДЫ'!$C$3,0)-(1*2+0*4+0*6),0))*('ДОХОДЫ'!$C$3*890+(1-'ДОХОДЫ'!$C$3)*1157)+'ДОХОДЫ'!$C$5*500+'ДОХОДЫ'!$C$6*1500+1*3000+0*8000+0*15000)-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+(IF('РАСХОДЫ'!$C$4="Да",0,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0.15))+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0.1))-0.04*((ROUND(70*'ДОХОДЫ'!$C$2*(1-'РАСХОДЫ'!$C$3),0))*('ДОХОДЫ'!$C$3*290+(1-'ДОХОДЫ'!$C$3)*377)+(ROUND(70*'ДОХОДЫ'!$C$2*'РАСХОДЫ'!$C$3,0))*('ДОХОДЫ'!$C$3*590+(1-'ДОХОДЫ'!$C$3)*767)+(MAX(ROUND(70*(1-'ДОХОДЫ'!$C$2)*(1-'РАСХОДЫ'!$C$3),0),0))*('ДОХОДЫ'!$C$3*490+(1-'ДОХОДЫ'!$C$3)*637)+(MAX(ROUND(70*(1-'ДОХОДЫ'!$C$2)*'РАСХОДЫ'!$C$3,0)-(1*2+0*4+0*6),0))*('ДОХОДЫ'!$C$3*890+(1-'ДОХОДЫ'!$C$3)*1157)+'ДОХОДЫ'!$C$5*500+'ДОХОДЫ'!$C$6*1500+1*3000+0*8000+0*15000)</f>
        <v/>
      </c>
      <c r="D35" s="29">
        <f>((ROUND(70*'ДОХОДЫ'!$C$2*(1-'РАСХОДЫ'!$C$3),0))*('ДОХОДЫ'!$C$3*290+(1-'ДОХОДЫ'!$C$3)*377)+(ROUND(70*'ДОХОДЫ'!$C$2*'РАСХОДЫ'!$C$3,0))*('ДОХОДЫ'!$C$3*590+(1-'ДОХОДЫ'!$C$3)*767)+(MAX(ROUND(70*(1-'ДОХОДЫ'!$C$2)*(1-'РАСХОДЫ'!$C$3),0),0))*('ДОХОДЫ'!$C$3*490+(1-'ДОХОДЫ'!$C$3)*637)+(MAX(ROUND(70*(1-'ДОХОДЫ'!$C$2)*'РАСХОДЫ'!$C$3,0)-(1*2+1*4+0*6),0))*('ДОХОДЫ'!$C$3*890+(1-'ДОХОДЫ'!$C$3)*1157)+'ДОХОДЫ'!$C$5*500+'ДОХОДЫ'!$C$6*1500+1*3000+1*8000+0*15000)-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+(IF('РАСХОДЫ'!$C$4="Да",0,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0.15))+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0.1))-0.04*((ROUND(70*'ДОХОДЫ'!$C$2*(1-'РАСХОДЫ'!$C$3),0))*('ДОХОДЫ'!$C$3*290+(1-'ДОХОДЫ'!$C$3)*377)+(ROUND(70*'ДОХОДЫ'!$C$2*'РАСХОДЫ'!$C$3,0))*('ДОХОДЫ'!$C$3*590+(1-'ДОХОДЫ'!$C$3)*767)+(MAX(ROUND(70*(1-'ДОХОДЫ'!$C$2)*(1-'РАСХОДЫ'!$C$3),0),0))*('ДОХОДЫ'!$C$3*490+(1-'ДОХОДЫ'!$C$3)*637)+(MAX(ROUND(70*(1-'ДОХОДЫ'!$C$2)*'РАСХОДЫ'!$C$3,0)-(1*2+1*4+0*6),0))*('ДОХОДЫ'!$C$3*890+(1-'ДОХОДЫ'!$C$3)*1157)+'ДОХОДЫ'!$C$5*500+'ДОХОДЫ'!$C$6*1500+1*3000+1*8000+0*15000)</f>
        <v/>
      </c>
      <c r="E35" s="29">
        <f>((ROUND(70*'ДОХОДЫ'!$C$2*(1-'РАСХОДЫ'!$C$3),0))*('ДОХОДЫ'!$C$3*290+(1-'ДОХОДЫ'!$C$3)*377)+(ROUND(70*'ДОХОДЫ'!$C$2*'РАСХОДЫ'!$C$3,0))*('ДОХОДЫ'!$C$3*590+(1-'ДОХОДЫ'!$C$3)*767)+(MAX(ROUND(70*(1-'ДОХОДЫ'!$C$2)*(1-'РАСХОДЫ'!$C$3),0),0))*('ДОХОДЫ'!$C$3*490+(1-'ДОХОДЫ'!$C$3)*637)+(MAX(ROUND(70*(1-'ДОХОДЫ'!$C$2)*'РАСХОДЫ'!$C$3,0)-(0*2+1*4+1*6),0))*('ДОХОДЫ'!$C$3*890+(1-'ДОХОДЫ'!$C$3)*1157)+'ДОХОДЫ'!$C$5*500+'ДОХОДЫ'!$C$6*1500+0*3000+1*8000+1*15000)-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+(IF('РАСХОДЫ'!$C$4="Да",0,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0.15))+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0.1))-0.04*((ROUND(70*'ДОХОДЫ'!$C$2*(1-'РАСХОДЫ'!$C$3),0))*('ДОХОДЫ'!$C$3*290+(1-'ДОХОДЫ'!$C$3)*377)+(ROUND(70*'ДОХОДЫ'!$C$2*'РАСХОДЫ'!$C$3,0))*('ДОХОДЫ'!$C$3*590+(1-'ДОХОДЫ'!$C$3)*767)+(MAX(ROUND(70*(1-'ДОХОДЫ'!$C$2)*(1-'РАСХОДЫ'!$C$3),0),0))*('ДОХОДЫ'!$C$3*490+(1-'ДОХОДЫ'!$C$3)*637)+(MAX(ROUND(70*(1-'ДОХОДЫ'!$C$2)*'РАСХОДЫ'!$C$3,0)-(0*2+1*4+1*6),0))*('ДОХОДЫ'!$C$3*890+(1-'ДОХОДЫ'!$C$3)*1157)+'ДОХОДЫ'!$C$5*500+'ДОХОДЫ'!$C$6*1500+0*3000+1*8000+1*15000)</f>
        <v/>
      </c>
      <c r="F35" s="29">
        <f>((ROUND(70*'ДОХОДЫ'!$C$2*(1-'РАСХОДЫ'!$C$3),0))*('ДОХОДЫ'!$C$3*290+(1-'ДОХОДЫ'!$C$3)*377)+(ROUND(70*'ДОХОДЫ'!$C$2*'РАСХОДЫ'!$C$3,0))*('ДОХОДЫ'!$C$3*590+(1-'ДОХОДЫ'!$C$3)*767)+(MAX(ROUND(70*(1-'ДОХОДЫ'!$C$2)*(1-'РАСХОДЫ'!$C$3),0),0))*('ДОХОДЫ'!$C$3*490+(1-'ДОХОДЫ'!$C$3)*637)+(MAX(ROUND(70*(1-'ДОХОДЫ'!$C$2)*'РАСХОДЫ'!$C$3,0)-(1*2+1*4+1*6),0))*('ДОХОДЫ'!$C$3*890+(1-'ДОХОДЫ'!$C$3)*1157)+'ДОХОДЫ'!$C$5*500+'ДОХОДЫ'!$C$6*1500+1*3000+1*8000+1*15000)-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+(IF('РАСХОДЫ'!$C$4="Да",0,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0.15))+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0.1))-0.04*((ROUND(70*'ДОХОДЫ'!$C$2*(1-'РАСХОДЫ'!$C$3),0))*('ДОХОДЫ'!$C$3*290+(1-'ДОХОДЫ'!$C$3)*377)+(ROUND(70*'ДОХОДЫ'!$C$2*'РАСХОДЫ'!$C$3,0))*('ДОХОДЫ'!$C$3*590+(1-'ДОХОДЫ'!$C$3)*767)+(MAX(ROUND(70*(1-'ДОХОДЫ'!$C$2)*(1-'РАСХОДЫ'!$C$3),0),0))*('ДОХОДЫ'!$C$3*490+(1-'ДОХОДЫ'!$C$3)*637)+(MAX(ROUND(70*(1-'ДОХОДЫ'!$C$2)*'РАСХОДЫ'!$C$3,0)-(1*2+1*4+1*6),0))*('ДОХОДЫ'!$C$3*890+(1-'ДОХОДЫ'!$C$3)*1157)+'ДОХОДЫ'!$C$5*500+'ДОХОДЫ'!$C$6*1500+1*3000+1*8000+1*15000)</f>
        <v/>
      </c>
    </row>
    <row r="36">
      <c r="A36" s="33" t="n">
        <v>80</v>
      </c>
      <c r="B36" s="29">
        <f>((ROUND(80*'ДОХОДЫ'!$C$2*(1-'РАСХОДЫ'!$C$3),0))*('ДОХОДЫ'!$C$3*290+(1-'ДОХОДЫ'!$C$3)*377)+(ROUND(80*'ДОХОДЫ'!$C$2*'РАСХОДЫ'!$C$3,0))*('ДОХОДЫ'!$C$3*590+(1-'ДОХОДЫ'!$C$3)*767)+(MAX(ROUND(80*(1-'ДОХОДЫ'!$C$2)*(1-'РАСХОДЫ'!$C$3),0),0))*('ДОХОДЫ'!$C$3*490+(1-'ДОХОДЫ'!$C$3)*637)+(MAX(ROUND(80*(1-'ДОХОДЫ'!$C$2)*'РАСХОДЫ'!$C$3,0)-(0*2+0*4+0*6),0))*('ДОХОДЫ'!$C$3*890+(1-'ДОХОДЫ'!$C$3)*1157)+'ДОХОДЫ'!$C$5*500+'ДОХОДЫ'!$C$6*1500+0*3000+0*8000+0*15000)-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+(IF('РАСХОДЫ'!$C$4="Да",0,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0.15))+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0.1))-0.04*((ROUND(80*'ДОХОДЫ'!$C$2*(1-'РАСХОДЫ'!$C$3),0))*('ДОХОДЫ'!$C$3*290+(1-'ДОХОДЫ'!$C$3)*377)+(ROUND(80*'ДОХОДЫ'!$C$2*'РАСХОДЫ'!$C$3,0))*('ДОХОДЫ'!$C$3*590+(1-'ДОХОДЫ'!$C$3)*767)+(MAX(ROUND(80*(1-'ДОХОДЫ'!$C$2)*(1-'РАСХОДЫ'!$C$3),0),0))*('ДОХОДЫ'!$C$3*490+(1-'ДОХОДЫ'!$C$3)*637)+(MAX(ROUND(80*(1-'ДОХОДЫ'!$C$2)*'РАСХОДЫ'!$C$3,0)-(0*2+0*4+0*6),0))*('ДОХОДЫ'!$C$3*890+(1-'ДОХОДЫ'!$C$3)*1157)+'ДОХОДЫ'!$C$5*500+'ДОХОДЫ'!$C$6*1500+0*3000+0*8000+0*15000)</f>
        <v/>
      </c>
      <c r="C36" s="29">
        <f>((ROUND(80*'ДОХОДЫ'!$C$2*(1-'РАСХОДЫ'!$C$3),0))*('ДОХОДЫ'!$C$3*290+(1-'ДОХОДЫ'!$C$3)*377)+(ROUND(80*'ДОХОДЫ'!$C$2*'РАСХОДЫ'!$C$3,0))*('ДОХОДЫ'!$C$3*590+(1-'ДОХОДЫ'!$C$3)*767)+(MAX(ROUND(80*(1-'ДОХОДЫ'!$C$2)*(1-'РАСХОДЫ'!$C$3),0),0))*('ДОХОДЫ'!$C$3*490+(1-'ДОХОДЫ'!$C$3)*637)+(MAX(ROUND(80*(1-'ДОХОДЫ'!$C$2)*'РАСХОДЫ'!$C$3,0)-(1*2+0*4+0*6),0))*('ДОХОДЫ'!$C$3*890+(1-'ДОХОДЫ'!$C$3)*1157)+'ДОХОДЫ'!$C$5*500+'ДОХОДЫ'!$C$6*1500+1*3000+0*8000+0*15000)-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+(IF('РАСХОДЫ'!$C$4="Да",0,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0.15))+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0.1))-0.04*((ROUND(80*'ДОХОДЫ'!$C$2*(1-'РАСХОДЫ'!$C$3),0))*('ДОХОДЫ'!$C$3*290+(1-'ДОХОДЫ'!$C$3)*377)+(ROUND(80*'ДОХОДЫ'!$C$2*'РАСХОДЫ'!$C$3,0))*('ДОХОДЫ'!$C$3*590+(1-'ДОХОДЫ'!$C$3)*767)+(MAX(ROUND(80*(1-'ДОХОДЫ'!$C$2)*(1-'РАСХОДЫ'!$C$3),0),0))*('ДОХОДЫ'!$C$3*490+(1-'ДОХОДЫ'!$C$3)*637)+(MAX(ROUND(80*(1-'ДОХОДЫ'!$C$2)*'РАСХОДЫ'!$C$3,0)-(1*2+0*4+0*6),0))*('ДОХОДЫ'!$C$3*890+(1-'ДОХОДЫ'!$C$3)*1157)+'ДОХОДЫ'!$C$5*500+'ДОХОДЫ'!$C$6*1500+1*3000+0*8000+0*15000)</f>
        <v/>
      </c>
      <c r="D36" s="29">
        <f>((ROUND(80*'ДОХОДЫ'!$C$2*(1-'РАСХОДЫ'!$C$3),0))*('ДОХОДЫ'!$C$3*290+(1-'ДОХОДЫ'!$C$3)*377)+(ROUND(80*'ДОХОДЫ'!$C$2*'РАСХОДЫ'!$C$3,0))*('ДОХОДЫ'!$C$3*590+(1-'ДОХОДЫ'!$C$3)*767)+(MAX(ROUND(80*(1-'ДОХОДЫ'!$C$2)*(1-'РАСХОДЫ'!$C$3),0),0))*('ДОХОДЫ'!$C$3*490+(1-'ДОХОДЫ'!$C$3)*637)+(MAX(ROUND(80*(1-'ДОХОДЫ'!$C$2)*'РАСХОДЫ'!$C$3,0)-(1*2+1*4+0*6),0))*('ДОХОДЫ'!$C$3*890+(1-'ДОХОДЫ'!$C$3)*1157)+'ДОХОДЫ'!$C$5*500+'ДОХОДЫ'!$C$6*1500+1*3000+1*8000+0*15000)-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+(IF('РАСХОДЫ'!$C$4="Да",0,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0.15))+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0.1))-0.04*((ROUND(80*'ДОХОДЫ'!$C$2*(1-'РАСХОДЫ'!$C$3),0))*('ДОХОДЫ'!$C$3*290+(1-'ДОХОДЫ'!$C$3)*377)+(ROUND(80*'ДОХОДЫ'!$C$2*'РАСХОДЫ'!$C$3,0))*('ДОХОДЫ'!$C$3*590+(1-'ДОХОДЫ'!$C$3)*767)+(MAX(ROUND(80*(1-'ДОХОДЫ'!$C$2)*(1-'РАСХОДЫ'!$C$3),0),0))*('ДОХОДЫ'!$C$3*490+(1-'ДОХОДЫ'!$C$3)*637)+(MAX(ROUND(80*(1-'ДОХОДЫ'!$C$2)*'РАСХОДЫ'!$C$3,0)-(1*2+1*4+0*6),0))*('ДОХОДЫ'!$C$3*890+(1-'ДОХОДЫ'!$C$3)*1157)+'ДОХОДЫ'!$C$5*500+'ДОХОДЫ'!$C$6*1500+1*3000+1*8000+0*15000)</f>
        <v/>
      </c>
      <c r="E36" s="29">
        <f>((ROUND(80*'ДОХОДЫ'!$C$2*(1-'РАСХОДЫ'!$C$3),0))*('ДОХОДЫ'!$C$3*290+(1-'ДОХОДЫ'!$C$3)*377)+(ROUND(80*'ДОХОДЫ'!$C$2*'РАСХОДЫ'!$C$3,0))*('ДОХОДЫ'!$C$3*590+(1-'ДОХОДЫ'!$C$3)*767)+(MAX(ROUND(80*(1-'ДОХОДЫ'!$C$2)*(1-'РАСХОДЫ'!$C$3),0),0))*('ДОХОДЫ'!$C$3*490+(1-'ДОХОДЫ'!$C$3)*637)+(MAX(ROUND(80*(1-'ДОХОДЫ'!$C$2)*'РАСХОДЫ'!$C$3,0)-(0*2+1*4+1*6),0))*('ДОХОДЫ'!$C$3*890+(1-'ДОХОДЫ'!$C$3)*1157)+'ДОХОДЫ'!$C$5*500+'ДОХОДЫ'!$C$6*1500+0*3000+1*8000+1*15000)-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+(IF('РАСХОДЫ'!$C$4="Да",0,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0.15))+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0.1))-0.04*((ROUND(80*'ДОХОДЫ'!$C$2*(1-'РАСХОДЫ'!$C$3),0))*('ДОХОДЫ'!$C$3*290+(1-'ДОХОДЫ'!$C$3)*377)+(ROUND(80*'ДОХОДЫ'!$C$2*'РАСХОДЫ'!$C$3,0))*('ДОХОДЫ'!$C$3*590+(1-'ДОХОДЫ'!$C$3)*767)+(MAX(ROUND(80*(1-'ДОХОДЫ'!$C$2)*(1-'РАСХОДЫ'!$C$3),0),0))*('ДОХОДЫ'!$C$3*490+(1-'ДОХОДЫ'!$C$3)*637)+(MAX(ROUND(80*(1-'ДОХОДЫ'!$C$2)*'РАСХОДЫ'!$C$3,0)-(0*2+1*4+1*6),0))*('ДОХОДЫ'!$C$3*890+(1-'ДОХОДЫ'!$C$3)*1157)+'ДОХОДЫ'!$C$5*500+'ДОХОДЫ'!$C$6*1500+0*3000+1*8000+1*15000)</f>
        <v/>
      </c>
      <c r="F36" s="29">
        <f>((ROUND(80*'ДОХОДЫ'!$C$2*(1-'РАСХОДЫ'!$C$3),0))*('ДОХОДЫ'!$C$3*290+(1-'ДОХОДЫ'!$C$3)*377)+(ROUND(80*'ДОХОДЫ'!$C$2*'РАСХОДЫ'!$C$3,0))*('ДОХОДЫ'!$C$3*590+(1-'ДОХОДЫ'!$C$3)*767)+(MAX(ROUND(80*(1-'ДОХОДЫ'!$C$2)*(1-'РАСХОДЫ'!$C$3),0),0))*('ДОХОДЫ'!$C$3*490+(1-'ДОХОДЫ'!$C$3)*637)+(MAX(ROUND(80*(1-'ДОХОДЫ'!$C$2)*'РАСХОДЫ'!$C$3,0)-(1*2+1*4+1*6),0))*('ДОХОДЫ'!$C$3*890+(1-'ДОХОДЫ'!$C$3)*1157)+'ДОХОДЫ'!$C$5*500+'ДОХОДЫ'!$C$6*1500+1*3000+1*8000+1*15000)-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+(IF('РАСХОДЫ'!$C$4="Да",0,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0.15))+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0.1))-0.04*((ROUND(80*'ДОХОДЫ'!$C$2*(1-'РАСХОДЫ'!$C$3),0))*('ДОХОДЫ'!$C$3*290+(1-'ДОХОДЫ'!$C$3)*377)+(ROUND(80*'ДОХОДЫ'!$C$2*'РАСХОДЫ'!$C$3,0))*('ДОХОДЫ'!$C$3*590+(1-'ДОХОДЫ'!$C$3)*767)+(MAX(ROUND(80*(1-'ДОХОДЫ'!$C$2)*(1-'РАСХОДЫ'!$C$3),0),0))*('ДОХОДЫ'!$C$3*490+(1-'ДОХОДЫ'!$C$3)*637)+(MAX(ROUND(80*(1-'ДОХОДЫ'!$C$2)*'РАСХОДЫ'!$C$3,0)-(1*2+1*4+1*6),0))*('ДОХОДЫ'!$C$3*890+(1-'ДОХОДЫ'!$C$3)*1157)+'ДОХОДЫ'!$C$5*500+'ДОХОДЫ'!$C$6*1500+1*3000+1*8000+1*15000)</f>
        <v/>
      </c>
    </row>
    <row r="37">
      <c r="A37" s="33" t="n">
        <v>90</v>
      </c>
      <c r="B37" s="29">
        <f>((ROUND(90*'ДОХОДЫ'!$C$2*(1-'РАСХОДЫ'!$C$3),0))*('ДОХОДЫ'!$C$3*290+(1-'ДОХОДЫ'!$C$3)*377)+(ROUND(90*'ДОХОДЫ'!$C$2*'РАСХОДЫ'!$C$3,0))*('ДОХОДЫ'!$C$3*590+(1-'ДОХОДЫ'!$C$3)*767)+(MAX(ROUND(90*(1-'ДОХОДЫ'!$C$2)*(1-'РАСХОДЫ'!$C$3),0),0))*('ДОХОДЫ'!$C$3*490+(1-'ДОХОДЫ'!$C$3)*637)+(MAX(ROUND(90*(1-'ДОХОДЫ'!$C$2)*'РАСХОДЫ'!$C$3,0)-(0*2+0*4+0*6),0))*('ДОХОДЫ'!$C$3*890+(1-'ДОХОДЫ'!$C$3)*1157)+'ДОХОДЫ'!$C$5*500+'ДОХОДЫ'!$C$6*1500+0*3000+0*8000+0*15000)-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+(IF('РАСХОДЫ'!$C$4="Да",0,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0.15))+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0.1))-0.04*((ROUND(90*'ДОХОДЫ'!$C$2*(1-'РАСХОДЫ'!$C$3),0))*('ДОХОДЫ'!$C$3*290+(1-'ДОХОДЫ'!$C$3)*377)+(ROUND(90*'ДОХОДЫ'!$C$2*'РАСХОДЫ'!$C$3,0))*('ДОХОДЫ'!$C$3*590+(1-'ДОХОДЫ'!$C$3)*767)+(MAX(ROUND(90*(1-'ДОХОДЫ'!$C$2)*(1-'РАСХОДЫ'!$C$3),0),0))*('ДОХОДЫ'!$C$3*490+(1-'ДОХОДЫ'!$C$3)*637)+(MAX(ROUND(90*(1-'ДОХОДЫ'!$C$2)*'РАСХОДЫ'!$C$3,0)-(0*2+0*4+0*6),0))*('ДОХОДЫ'!$C$3*890+(1-'ДОХОДЫ'!$C$3)*1157)+'ДОХОДЫ'!$C$5*500+'ДОХОДЫ'!$C$6*1500+0*3000+0*8000+0*15000)</f>
        <v/>
      </c>
      <c r="C37" s="29">
        <f>((ROUND(90*'ДОХОДЫ'!$C$2*(1-'РАСХОДЫ'!$C$3),0))*('ДОХОДЫ'!$C$3*290+(1-'ДОХОДЫ'!$C$3)*377)+(ROUND(90*'ДОХОДЫ'!$C$2*'РАСХОДЫ'!$C$3,0))*('ДОХОДЫ'!$C$3*590+(1-'ДОХОДЫ'!$C$3)*767)+(MAX(ROUND(90*(1-'ДОХОДЫ'!$C$2)*(1-'РАСХОДЫ'!$C$3),0),0))*('ДОХОДЫ'!$C$3*490+(1-'ДОХОДЫ'!$C$3)*637)+(MAX(ROUND(90*(1-'ДОХОДЫ'!$C$2)*'РАСХОДЫ'!$C$3,0)-(1*2+0*4+0*6),0))*('ДОХОДЫ'!$C$3*890+(1-'ДОХОДЫ'!$C$3)*1157)+'ДОХОДЫ'!$C$5*500+'ДОХОДЫ'!$C$6*1500+1*3000+0*8000+0*15000)-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+(IF('РАСХОДЫ'!$C$4="Да",0,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0.15))+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0.1))-0.04*((ROUND(90*'ДОХОДЫ'!$C$2*(1-'РАСХОДЫ'!$C$3),0))*('ДОХОДЫ'!$C$3*290+(1-'ДОХОДЫ'!$C$3)*377)+(ROUND(90*'ДОХОДЫ'!$C$2*'РАСХОДЫ'!$C$3,0))*('ДОХОДЫ'!$C$3*590+(1-'ДОХОДЫ'!$C$3)*767)+(MAX(ROUND(90*(1-'ДОХОДЫ'!$C$2)*(1-'РАСХОДЫ'!$C$3),0),0))*('ДОХОДЫ'!$C$3*490+(1-'ДОХОДЫ'!$C$3)*637)+(MAX(ROUND(90*(1-'ДОХОДЫ'!$C$2)*'РАСХОДЫ'!$C$3,0)-(1*2+0*4+0*6),0))*('ДОХОДЫ'!$C$3*890+(1-'ДОХОДЫ'!$C$3)*1157)+'ДОХОДЫ'!$C$5*500+'ДОХОДЫ'!$C$6*1500+1*3000+0*8000+0*15000)</f>
        <v/>
      </c>
      <c r="D37" s="29">
        <f>((ROUND(90*'ДОХОДЫ'!$C$2*(1-'РАСХОДЫ'!$C$3),0))*('ДОХОДЫ'!$C$3*290+(1-'ДОХОДЫ'!$C$3)*377)+(ROUND(90*'ДОХОДЫ'!$C$2*'РАСХОДЫ'!$C$3,0))*('ДОХОДЫ'!$C$3*590+(1-'ДОХОДЫ'!$C$3)*767)+(MAX(ROUND(90*(1-'ДОХОДЫ'!$C$2)*(1-'РАСХОДЫ'!$C$3),0),0))*('ДОХОДЫ'!$C$3*490+(1-'ДОХОДЫ'!$C$3)*637)+(MAX(ROUND(90*(1-'ДОХОДЫ'!$C$2)*'РАСХОДЫ'!$C$3,0)-(1*2+1*4+0*6),0))*('ДОХОДЫ'!$C$3*890+(1-'ДОХОДЫ'!$C$3)*1157)+'ДОХОДЫ'!$C$5*500+'ДОХОДЫ'!$C$6*1500+1*3000+1*8000+0*15000)-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+(IF('РАСХОДЫ'!$C$4="Да",0,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0.15))+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0.1))-0.04*((ROUND(90*'ДОХОДЫ'!$C$2*(1-'РАСХОДЫ'!$C$3),0))*('ДОХОДЫ'!$C$3*290+(1-'ДОХОДЫ'!$C$3)*377)+(ROUND(90*'ДОХОДЫ'!$C$2*'РАСХОДЫ'!$C$3,0))*('ДОХОДЫ'!$C$3*590+(1-'ДОХОДЫ'!$C$3)*767)+(MAX(ROUND(90*(1-'ДОХОДЫ'!$C$2)*(1-'РАСХОДЫ'!$C$3),0),0))*('ДОХОДЫ'!$C$3*490+(1-'ДОХОДЫ'!$C$3)*637)+(MAX(ROUND(90*(1-'ДОХОДЫ'!$C$2)*'РАСХОДЫ'!$C$3,0)-(1*2+1*4+0*6),0))*('ДОХОДЫ'!$C$3*890+(1-'ДОХОДЫ'!$C$3)*1157)+'ДОХОДЫ'!$C$5*500+'ДОХОДЫ'!$C$6*1500+1*3000+1*8000+0*15000)</f>
        <v/>
      </c>
      <c r="E37" s="29">
        <f>((ROUND(90*'ДОХОДЫ'!$C$2*(1-'РАСХОДЫ'!$C$3),0))*('ДОХОДЫ'!$C$3*290+(1-'ДОХОДЫ'!$C$3)*377)+(ROUND(90*'ДОХОДЫ'!$C$2*'РАСХОДЫ'!$C$3,0))*('ДОХОДЫ'!$C$3*590+(1-'ДОХОДЫ'!$C$3)*767)+(MAX(ROUND(90*(1-'ДОХОДЫ'!$C$2)*(1-'РАСХОДЫ'!$C$3),0),0))*('ДОХОДЫ'!$C$3*490+(1-'ДОХОДЫ'!$C$3)*637)+(MAX(ROUND(90*(1-'ДОХОДЫ'!$C$2)*'РАСХОДЫ'!$C$3,0)-(0*2+1*4+1*6),0))*('ДОХОДЫ'!$C$3*890+(1-'ДОХОДЫ'!$C$3)*1157)+'ДОХОДЫ'!$C$5*500+'ДОХОДЫ'!$C$6*1500+0*3000+1*8000+1*15000)-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+(IF('РАСХОДЫ'!$C$4="Да",0,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0.15))+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0.1))-0.04*((ROUND(90*'ДОХОДЫ'!$C$2*(1-'РАСХОДЫ'!$C$3),0))*('ДОХОДЫ'!$C$3*290+(1-'ДОХОДЫ'!$C$3)*377)+(ROUND(90*'ДОХОДЫ'!$C$2*'РАСХОДЫ'!$C$3,0))*('ДОХОДЫ'!$C$3*590+(1-'ДОХОДЫ'!$C$3)*767)+(MAX(ROUND(90*(1-'ДОХОДЫ'!$C$2)*(1-'РАСХОДЫ'!$C$3),0),0))*('ДОХОДЫ'!$C$3*490+(1-'ДОХОДЫ'!$C$3)*637)+(MAX(ROUND(90*(1-'ДОХОДЫ'!$C$2)*'РАСХОДЫ'!$C$3,0)-(0*2+1*4+1*6),0))*('ДОХОДЫ'!$C$3*890+(1-'ДОХОДЫ'!$C$3)*1157)+'ДОХОДЫ'!$C$5*500+'ДОХОДЫ'!$C$6*1500+0*3000+1*8000+1*15000)</f>
        <v/>
      </c>
      <c r="F37" s="29">
        <f>((ROUND(90*'ДОХОДЫ'!$C$2*(1-'РАСХОДЫ'!$C$3),0))*('ДОХОДЫ'!$C$3*290+(1-'ДОХОДЫ'!$C$3)*377)+(ROUND(90*'ДОХОДЫ'!$C$2*'РАСХОДЫ'!$C$3,0))*('ДОХОДЫ'!$C$3*590+(1-'ДОХОДЫ'!$C$3)*767)+(MAX(ROUND(90*(1-'ДОХОДЫ'!$C$2)*(1-'РАСХОДЫ'!$C$3),0),0))*('ДОХОДЫ'!$C$3*490+(1-'ДОХОДЫ'!$C$3)*637)+(MAX(ROUND(90*(1-'ДОХОДЫ'!$C$2)*'РАСХОДЫ'!$C$3,0)-(1*2+1*4+1*6),0))*('ДОХОДЫ'!$C$3*890+(1-'ДОХОДЫ'!$C$3)*1157)+'ДОХОДЫ'!$C$5*500+'ДОХОДЫ'!$C$6*1500+1*3000+1*8000+1*15000)-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+(IF('РАСХОДЫ'!$C$4="Да",0,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0.15))+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0.1))-0.04*((ROUND(90*'ДОХОДЫ'!$C$2*(1-'РАСХОДЫ'!$C$3),0))*('ДОХОДЫ'!$C$3*290+(1-'ДОХОДЫ'!$C$3)*377)+(ROUND(90*'ДОХОДЫ'!$C$2*'РАСХОДЫ'!$C$3,0))*('ДОХОДЫ'!$C$3*590+(1-'ДОХОДЫ'!$C$3)*767)+(MAX(ROUND(90*(1-'ДОХОДЫ'!$C$2)*(1-'РАСХОДЫ'!$C$3),0),0))*('ДОХОДЫ'!$C$3*490+(1-'ДОХОДЫ'!$C$3)*637)+(MAX(ROUND(90*(1-'ДОХОДЫ'!$C$2)*'РАСХОДЫ'!$C$3,0)-(1*2+1*4+1*6),0))*('ДОХОДЫ'!$C$3*890+(1-'ДОХОДЫ'!$C$3)*1157)+'ДОХОДЫ'!$C$5*500+'ДОХОДЫ'!$C$6*1500+1*3000+1*8000+1*15000)</f>
        <v/>
      </c>
    </row>
    <row r="38">
      <c r="A38" s="33" t="n">
        <v>100</v>
      </c>
      <c r="B38" s="29">
        <f>((ROUND(100*'ДОХОДЫ'!$C$2*(1-'РАСХОДЫ'!$C$3),0))*('ДОХОДЫ'!$C$3*290+(1-'ДОХОДЫ'!$C$3)*377)+(ROUND(100*'ДОХОДЫ'!$C$2*'РАСХОДЫ'!$C$3,0))*('ДОХОДЫ'!$C$3*590+(1-'ДОХОДЫ'!$C$3)*767)+(MAX(ROUND(100*(1-'ДОХОДЫ'!$C$2)*(1-'РАСХОДЫ'!$C$3),0),0))*('ДОХОДЫ'!$C$3*490+(1-'ДОХОДЫ'!$C$3)*637)+(MAX(ROUND(100*(1-'ДОХОДЫ'!$C$2)*'РАСХОДЫ'!$C$3,0)-(0*2+0*4+0*6),0))*('ДОХОДЫ'!$C$3*890+(1-'ДОХОДЫ'!$C$3)*1157)+'ДОХОДЫ'!$C$5*500+'ДОХОДЫ'!$C$6*1500+0*3000+0*8000+0*15000)-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+(IF('РАСХОДЫ'!$C$4="Да",0,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0.15))+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0.1))-0.04*((ROUND(100*'ДОХОДЫ'!$C$2*(1-'РАСХОДЫ'!$C$3),0))*('ДОХОДЫ'!$C$3*290+(1-'ДОХОДЫ'!$C$3)*377)+(ROUND(100*'ДОХОДЫ'!$C$2*'РАСХОДЫ'!$C$3,0))*('ДОХОДЫ'!$C$3*590+(1-'ДОХОДЫ'!$C$3)*767)+(MAX(ROUND(100*(1-'ДОХОДЫ'!$C$2)*(1-'РАСХОДЫ'!$C$3),0),0))*('ДОХОДЫ'!$C$3*490+(1-'ДОХОДЫ'!$C$3)*637)+(MAX(ROUND(100*(1-'ДОХОДЫ'!$C$2)*'РАСХОДЫ'!$C$3,0)-(0*2+0*4+0*6),0))*('ДОХОДЫ'!$C$3*890+(1-'ДОХОДЫ'!$C$3)*1157)+'ДОХОДЫ'!$C$5*500+'ДОХОДЫ'!$C$6*1500+0*3000+0*8000+0*15000)</f>
        <v/>
      </c>
      <c r="C38" s="29">
        <f>((ROUND(100*'ДОХОДЫ'!$C$2*(1-'РАСХОДЫ'!$C$3),0))*('ДОХОДЫ'!$C$3*290+(1-'ДОХОДЫ'!$C$3)*377)+(ROUND(100*'ДОХОДЫ'!$C$2*'РАСХОДЫ'!$C$3,0))*('ДОХОДЫ'!$C$3*590+(1-'ДОХОДЫ'!$C$3)*767)+(MAX(ROUND(100*(1-'ДОХОДЫ'!$C$2)*(1-'РАСХОДЫ'!$C$3),0),0))*('ДОХОДЫ'!$C$3*490+(1-'ДОХОДЫ'!$C$3)*637)+(MAX(ROUND(100*(1-'ДОХОДЫ'!$C$2)*'РАСХОДЫ'!$C$3,0)-(1*2+0*4+0*6),0))*('ДОХОДЫ'!$C$3*890+(1-'ДОХОДЫ'!$C$3)*1157)+'ДОХОДЫ'!$C$5*500+'ДОХОДЫ'!$C$6*1500+1*3000+0*8000+0*15000)-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+(IF('РАСХОДЫ'!$C$4="Да",0,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0.15))+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0.1))-0.04*((ROUND(100*'ДОХОДЫ'!$C$2*(1-'РАСХОДЫ'!$C$3),0))*('ДОХОДЫ'!$C$3*290+(1-'ДОХОДЫ'!$C$3)*377)+(ROUND(100*'ДОХОДЫ'!$C$2*'РАСХОДЫ'!$C$3,0))*('ДОХОДЫ'!$C$3*590+(1-'ДОХОДЫ'!$C$3)*767)+(MAX(ROUND(100*(1-'ДОХОДЫ'!$C$2)*(1-'РАСХОДЫ'!$C$3),0),0))*('ДОХОДЫ'!$C$3*490+(1-'ДОХОДЫ'!$C$3)*637)+(MAX(ROUND(100*(1-'ДОХОДЫ'!$C$2)*'РАСХОДЫ'!$C$3,0)-(1*2+0*4+0*6),0))*('ДОХОДЫ'!$C$3*890+(1-'ДОХОДЫ'!$C$3)*1157)+'ДОХОДЫ'!$C$5*500+'ДОХОДЫ'!$C$6*1500+1*3000+0*8000+0*15000)</f>
        <v/>
      </c>
      <c r="D38" s="29">
        <f>((ROUND(100*'ДОХОДЫ'!$C$2*(1-'РАСХОДЫ'!$C$3),0))*('ДОХОДЫ'!$C$3*290+(1-'ДОХОДЫ'!$C$3)*377)+(ROUND(100*'ДОХОДЫ'!$C$2*'РАСХОДЫ'!$C$3,0))*('ДОХОДЫ'!$C$3*590+(1-'ДОХОДЫ'!$C$3)*767)+(MAX(ROUND(100*(1-'ДОХОДЫ'!$C$2)*(1-'РАСХОДЫ'!$C$3),0),0))*('ДОХОДЫ'!$C$3*490+(1-'ДОХОДЫ'!$C$3)*637)+(MAX(ROUND(100*(1-'ДОХОДЫ'!$C$2)*'РАСХОДЫ'!$C$3,0)-(1*2+1*4+0*6),0))*('ДОХОДЫ'!$C$3*890+(1-'ДОХОДЫ'!$C$3)*1157)+'ДОХОДЫ'!$C$5*500+'ДОХОДЫ'!$C$6*1500+1*3000+1*8000+0*15000)-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+(IF('РАСХОДЫ'!$C$4="Да",0,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0.15))+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0.1))-0.04*((ROUND(100*'ДОХОДЫ'!$C$2*(1-'РАСХОДЫ'!$C$3),0))*('ДОХОДЫ'!$C$3*290+(1-'ДОХОДЫ'!$C$3)*377)+(ROUND(100*'ДОХОДЫ'!$C$2*'РАСХОДЫ'!$C$3,0))*('ДОХОДЫ'!$C$3*590+(1-'ДОХОДЫ'!$C$3)*767)+(MAX(ROUND(100*(1-'ДОХОДЫ'!$C$2)*(1-'РАСХОДЫ'!$C$3),0),0))*('ДОХОДЫ'!$C$3*490+(1-'ДОХОДЫ'!$C$3)*637)+(MAX(ROUND(100*(1-'ДОХОДЫ'!$C$2)*'РАСХОДЫ'!$C$3,0)-(1*2+1*4+0*6),0))*('ДОХОДЫ'!$C$3*890+(1-'ДОХОДЫ'!$C$3)*1157)+'ДОХОДЫ'!$C$5*500+'ДОХОДЫ'!$C$6*1500+1*3000+1*8000+0*15000)</f>
        <v/>
      </c>
      <c r="E38" s="29">
        <f>((ROUND(100*'ДОХОДЫ'!$C$2*(1-'РАСХОДЫ'!$C$3),0))*('ДОХОДЫ'!$C$3*290+(1-'ДОХОДЫ'!$C$3)*377)+(ROUND(100*'ДОХОДЫ'!$C$2*'РАСХОДЫ'!$C$3,0))*('ДОХОДЫ'!$C$3*590+(1-'ДОХОДЫ'!$C$3)*767)+(MAX(ROUND(100*(1-'ДОХОДЫ'!$C$2)*(1-'РАСХОДЫ'!$C$3),0),0))*('ДОХОДЫ'!$C$3*490+(1-'ДОХОДЫ'!$C$3)*637)+(MAX(ROUND(100*(1-'ДОХОДЫ'!$C$2)*'РАСХОДЫ'!$C$3,0)-(0*2+1*4+1*6),0))*('ДОХОДЫ'!$C$3*890+(1-'ДОХОДЫ'!$C$3)*1157)+'ДОХОДЫ'!$C$5*500+'ДОХОДЫ'!$C$6*1500+0*3000+1*8000+1*15000)-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+(IF('РАСХОДЫ'!$C$4="Да",0,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0.15))+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0.1))-0.04*((ROUND(100*'ДОХОДЫ'!$C$2*(1-'РАСХОДЫ'!$C$3),0))*('ДОХОДЫ'!$C$3*290+(1-'ДОХОДЫ'!$C$3)*377)+(ROUND(100*'ДОХОДЫ'!$C$2*'РАСХОДЫ'!$C$3,0))*('ДОХОДЫ'!$C$3*590+(1-'ДОХОДЫ'!$C$3)*767)+(MAX(ROUND(100*(1-'ДОХОДЫ'!$C$2)*(1-'РАСХОДЫ'!$C$3),0),0))*('ДОХОДЫ'!$C$3*490+(1-'ДОХОДЫ'!$C$3)*637)+(MAX(ROUND(100*(1-'ДОХОДЫ'!$C$2)*'РАСХОДЫ'!$C$3,0)-(0*2+1*4+1*6),0))*('ДОХОДЫ'!$C$3*890+(1-'ДОХОДЫ'!$C$3)*1157)+'ДОХОДЫ'!$C$5*500+'ДОХОДЫ'!$C$6*1500+0*3000+1*8000+1*15000)</f>
        <v/>
      </c>
      <c r="F38" s="29">
        <f>((ROUND(100*'ДОХОДЫ'!$C$2*(1-'РАСХОДЫ'!$C$3),0))*('ДОХОДЫ'!$C$3*290+(1-'ДОХОДЫ'!$C$3)*377)+(ROUND(100*'ДОХОДЫ'!$C$2*'РАСХОДЫ'!$C$3,0))*('ДОХОДЫ'!$C$3*590+(1-'ДОХОДЫ'!$C$3)*767)+(MAX(ROUND(100*(1-'ДОХОДЫ'!$C$2)*(1-'РАСХОДЫ'!$C$3),0),0))*('ДОХОДЫ'!$C$3*490+(1-'ДОХОДЫ'!$C$3)*637)+(MAX(ROUND(100*(1-'ДОХОДЫ'!$C$2)*'РАСХОДЫ'!$C$3,0)-(1*2+1*4+1*6),0))*('ДОХОДЫ'!$C$3*890+(1-'ДОХОДЫ'!$C$3)*1157)+'ДОХОДЫ'!$C$5*500+'ДОХОДЫ'!$C$6*1500+1*3000+1*8000+1*15000)-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+(IF('РАСХОДЫ'!$C$4="Да",0,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0.15))+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0.1))-0.04*((ROUND(100*'ДОХОДЫ'!$C$2*(1-'РАСХОДЫ'!$C$3),0))*('ДОХОДЫ'!$C$3*290+(1-'ДОХОДЫ'!$C$3)*377)+(ROUND(100*'ДОХОДЫ'!$C$2*'РАСХОДЫ'!$C$3,0))*('ДОХОДЫ'!$C$3*590+(1-'ДОХОДЫ'!$C$3)*767)+(MAX(ROUND(100*(1-'ДОХОДЫ'!$C$2)*(1-'РАСХОДЫ'!$C$3),0),0))*('ДОХОДЫ'!$C$3*490+(1-'ДОХОДЫ'!$C$3)*637)+(MAX(ROUND(100*(1-'ДОХОДЫ'!$C$2)*'РАСХОДЫ'!$C$3,0)-(1*2+1*4+1*6),0))*('ДОХОДЫ'!$C$3*890+(1-'ДОХОДЫ'!$C$3)*1157)+'ДОХОДЫ'!$C$5*500+'ДОХОДЫ'!$C$6*1500+1*3000+1*8000+1*15000)</f>
        <v/>
      </c>
    </row>
    <row r="41">
      <c r="A41" s="1" t="inlineStr">
        <is>
          <t>МАТРИЦА: Участники × Ценовой сценарий</t>
        </is>
      </c>
      <c r="B41" s="1" t="n"/>
      <c r="C41" s="1" t="n"/>
      <c r="D41" s="1" t="n"/>
      <c r="E41" s="1" t="n"/>
    </row>
    <row r="42">
      <c r="A42" s="31" t="inlineStr">
        <is>
          <t>Участников</t>
        </is>
      </c>
      <c r="B42" s="32" t="inlineStr">
        <is>
          <t>EB −20%</t>
        </is>
      </c>
      <c r="C42" s="32" t="inlineStr">
        <is>
          <t>Early Bird</t>
        </is>
      </c>
      <c r="D42" s="32" t="inlineStr">
        <is>
          <t>Regular</t>
        </is>
      </c>
      <c r="E42" s="32" t="inlineStr">
        <is>
          <t>Regular +20%</t>
        </is>
      </c>
    </row>
    <row r="43">
      <c r="A43" s="33" t="n">
        <v>30</v>
      </c>
      <c r="B43" s="29">
        <f>((ROUND(30*'ДОХОДЫ'!$C$2*(1-'РАСХОДЫ'!$C$3),0))*232+(ROUND(30*'ДОХОДЫ'!$C$2*'РАСХОДЫ'!$C$3,0))*472+(MAX(ROUND(30*(1-'ДОХОДЫ'!$C$2)*(1-'РАСХОДЫ'!$C$3),0),0))*392+(MAX(ROUND(30*(1-'ДОХОДЫ'!$C$2)*'РАСХОДЫ'!$C$3,0)-(1*2+1*4+0*6),0))*712+'ДОХОДЫ'!$C$5*400+'ДОХОДЫ'!$C$6*1200+1*3000+1*8000+0*15000)-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+(IF('РАСХОДЫ'!$C$4="Да",0,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0.15))+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0.1))-0.04*((ROUND(30*'ДОХОДЫ'!$C$2*(1-'РАСХОДЫ'!$C$3),0))*232+(ROUND(30*'ДОХОДЫ'!$C$2*'РАСХОДЫ'!$C$3,0))*472+(MAX(ROUND(30*(1-'ДОХОДЫ'!$C$2)*(1-'РАСХОДЫ'!$C$3),0),0))*392+(MAX(ROUND(30*(1-'ДОХОДЫ'!$C$2)*'РАСХОДЫ'!$C$3,0)-(1*2+1*4+0*6),0))*712+'ДОХОДЫ'!$C$5*400+'ДОХОДЫ'!$C$6*1200+1*3000+1*8000+0*15000)</f>
        <v/>
      </c>
      <c r="C43" s="29">
        <f>((ROUND(30*'ДОХОДЫ'!$C$2*(1-'РАСХОДЫ'!$C$3),0))*290+(ROUND(30*'ДОХОДЫ'!$C$2*'РАСХОДЫ'!$C$3,0))*590+(MAX(ROUND(30*(1-'ДОХОДЫ'!$C$2)*(1-'РАСХОДЫ'!$C$3),0),0))*490+(MAX(ROUND(30*(1-'ДОХОДЫ'!$C$2)*'РАСХОДЫ'!$C$3,0)-(1*2+1*4+0*6),0))*890+'ДОХОДЫ'!$C$5*500+'ДОХОДЫ'!$C$6*1500+1*3000+1*8000+0*15000)-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+(IF('РАСХОДЫ'!$C$4="Да",0,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0.15))+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0.1))-0.04*((ROUND(30*'ДОХОДЫ'!$C$2*(1-'РАСХОДЫ'!$C$3),0))*290+(ROUND(30*'ДОХОДЫ'!$C$2*'РАСХОДЫ'!$C$3,0))*590+(MAX(ROUND(30*(1-'ДОХОДЫ'!$C$2)*(1-'РАСХОДЫ'!$C$3),0),0))*490+(MAX(ROUND(30*(1-'ДОХОДЫ'!$C$2)*'РАСХОДЫ'!$C$3,0)-(1*2+1*4+0*6),0))*890+'ДОХОДЫ'!$C$5*500+'ДОХОДЫ'!$C$6*1500+1*3000+1*8000+0*15000)</f>
        <v/>
      </c>
      <c r="D43" s="29">
        <f>((ROUND(30*'ДОХОДЫ'!$C$2*(1-'РАСХОДЫ'!$C$3),0))*377+(ROUND(30*'ДОХОДЫ'!$C$2*'РАСХОДЫ'!$C$3,0))*767+(MAX(ROUND(30*(1-'ДОХОДЫ'!$C$2)*(1-'РАСХОДЫ'!$C$3),0),0))*637+(MAX(ROUND(30*(1-'ДОХОДЫ'!$C$2)*'РАСХОДЫ'!$C$3,0)-(1*2+1*4+0*6),0))*1157+'ДОХОДЫ'!$C$5*650+'ДОХОДЫ'!$C$6*1950+1*3000+1*8000+0*15000)-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+(IF('РАСХОДЫ'!$C$4="Да",0,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0.15))+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0.1))-0.04*((ROUND(30*'ДОХОДЫ'!$C$2*(1-'РАСХОДЫ'!$C$3),0))*377+(ROUND(30*'ДОХОДЫ'!$C$2*'РАСХОДЫ'!$C$3,0))*767+(MAX(ROUND(30*(1-'ДОХОДЫ'!$C$2)*(1-'РАСХОДЫ'!$C$3),0),0))*637+(MAX(ROUND(30*(1-'ДОХОДЫ'!$C$2)*'РАСХОДЫ'!$C$3,0)-(1*2+1*4+0*6),0))*1157+'ДОХОДЫ'!$C$5*650+'ДОХОДЫ'!$C$6*1950+1*3000+1*8000+0*15000)</f>
        <v/>
      </c>
      <c r="E43" s="29">
        <f>((ROUND(30*'ДОХОДЫ'!$C$2*(1-'РАСХОДЫ'!$C$3),0))*452+(ROUND(30*'ДОХОДЫ'!$C$2*'РАСХОДЫ'!$C$3,0))*920+(MAX(ROUND(30*(1-'ДОХОДЫ'!$C$2)*(1-'РАСХОДЫ'!$C$3),0),0))*764+(MAX(ROUND(30*(1-'ДОХОДЫ'!$C$2)*'РАСХОДЫ'!$C$3,0)-(1*2+1*4+0*6),0))*1388+'ДОХОДЫ'!$C$5*780+'ДОХОДЫ'!$C$6*2340+1*3000+1*8000+0*15000)-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+(IF('РАСХОДЫ'!$C$4="Да",0,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0.15))+(((IF(30&lt;=60,13000*0.85,IF(30&lt;=85,13000,13000*1.15)))+3500+55*30*2+30*ROUND(30*'РАСХОДЫ'!$C$3,0)+90*ROUND(30*'РАСХОДЫ'!$C$3,0)+90*ROUND(30*'РАСХОДЫ'!$C$3,0)+75*ROUND(30*'РАСХОДЫ'!$C$3,0)+60*ROUND(30*'РАСХОДЫ'!$C$3,0)+5000+5000+(IF(30&lt;=50,8000,IF(30&lt;=75,8000*1.2,8000*1.4)))+2500+4000+(2500*0.7+2500*0.3*30/70)+(IF(30&lt;=50,3000,3000*2))+500+3000+5000+2000)*0.1))-0.04*((ROUND(30*'ДОХОДЫ'!$C$2*(1-'РАСХОДЫ'!$C$3),0))*452+(ROUND(30*'ДОХОДЫ'!$C$2*'РАСХОДЫ'!$C$3,0))*920+(MAX(ROUND(30*(1-'ДОХОДЫ'!$C$2)*(1-'РАСХОДЫ'!$C$3),0),0))*764+(MAX(ROUND(30*(1-'ДОХОДЫ'!$C$2)*'РАСХОДЫ'!$C$3,0)-(1*2+1*4+0*6),0))*1388+'ДОХОДЫ'!$C$5*780+'ДОХОДЫ'!$C$6*2340+1*3000+1*8000+0*15000)</f>
        <v/>
      </c>
    </row>
    <row r="44">
      <c r="A44" s="33" t="n">
        <v>40</v>
      </c>
      <c r="B44" s="29">
        <f>((ROUND(40*'ДОХОДЫ'!$C$2*(1-'РАСХОДЫ'!$C$3),0))*232+(ROUND(40*'ДОХОДЫ'!$C$2*'РАСХОДЫ'!$C$3,0))*472+(MAX(ROUND(40*(1-'ДОХОДЫ'!$C$2)*(1-'РАСХОДЫ'!$C$3),0),0))*392+(MAX(ROUND(40*(1-'ДОХОДЫ'!$C$2)*'РАСХОДЫ'!$C$3,0)-(1*2+1*4+0*6),0))*712+'ДОХОДЫ'!$C$5*400+'ДОХОДЫ'!$C$6*1200+1*3000+1*8000+0*15000)-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+(IF('РАСХОДЫ'!$C$4="Да",0,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0.15))+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0.1))-0.04*((ROUND(40*'ДОХОДЫ'!$C$2*(1-'РАСХОДЫ'!$C$3),0))*232+(ROUND(40*'ДОХОДЫ'!$C$2*'РАСХОДЫ'!$C$3,0))*472+(MAX(ROUND(40*(1-'ДОХОДЫ'!$C$2)*(1-'РАСХОДЫ'!$C$3),0),0))*392+(MAX(ROUND(40*(1-'ДОХОДЫ'!$C$2)*'РАСХОДЫ'!$C$3,0)-(1*2+1*4+0*6),0))*712+'ДОХОДЫ'!$C$5*400+'ДОХОДЫ'!$C$6*1200+1*3000+1*8000+0*15000)</f>
        <v/>
      </c>
      <c r="C44" s="29">
        <f>((ROUND(40*'ДОХОДЫ'!$C$2*(1-'РАСХОДЫ'!$C$3),0))*290+(ROUND(40*'ДОХОДЫ'!$C$2*'РАСХОДЫ'!$C$3,0))*590+(MAX(ROUND(40*(1-'ДОХОДЫ'!$C$2)*(1-'РАСХОДЫ'!$C$3),0),0))*490+(MAX(ROUND(40*(1-'ДОХОДЫ'!$C$2)*'РАСХОДЫ'!$C$3,0)-(1*2+1*4+0*6),0))*890+'ДОХОДЫ'!$C$5*500+'ДОХОДЫ'!$C$6*1500+1*3000+1*8000+0*15000)-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+(IF('РАСХОДЫ'!$C$4="Да",0,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0.15))+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0.1))-0.04*((ROUND(40*'ДОХОДЫ'!$C$2*(1-'РАСХОДЫ'!$C$3),0))*290+(ROUND(40*'ДОХОДЫ'!$C$2*'РАСХОДЫ'!$C$3,0))*590+(MAX(ROUND(40*(1-'ДОХОДЫ'!$C$2)*(1-'РАСХОДЫ'!$C$3),0),0))*490+(MAX(ROUND(40*(1-'ДОХОДЫ'!$C$2)*'РАСХОДЫ'!$C$3,0)-(1*2+1*4+0*6),0))*890+'ДОХОДЫ'!$C$5*500+'ДОХОДЫ'!$C$6*1500+1*3000+1*8000+0*15000)</f>
        <v/>
      </c>
      <c r="D44" s="29">
        <f>((ROUND(40*'ДОХОДЫ'!$C$2*(1-'РАСХОДЫ'!$C$3),0))*377+(ROUND(40*'ДОХОДЫ'!$C$2*'РАСХОДЫ'!$C$3,0))*767+(MAX(ROUND(40*(1-'ДОХОДЫ'!$C$2)*(1-'РАСХОДЫ'!$C$3),0),0))*637+(MAX(ROUND(40*(1-'ДОХОДЫ'!$C$2)*'РАСХОДЫ'!$C$3,0)-(1*2+1*4+0*6),0))*1157+'ДОХОДЫ'!$C$5*650+'ДОХОДЫ'!$C$6*1950+1*3000+1*8000+0*15000)-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+(IF('РАСХОДЫ'!$C$4="Да",0,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0.15))+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0.1))-0.04*((ROUND(40*'ДОХОДЫ'!$C$2*(1-'РАСХОДЫ'!$C$3),0))*377+(ROUND(40*'ДОХОДЫ'!$C$2*'РАСХОДЫ'!$C$3,0))*767+(MAX(ROUND(40*(1-'ДОХОДЫ'!$C$2)*(1-'РАСХОДЫ'!$C$3),0),0))*637+(MAX(ROUND(40*(1-'ДОХОДЫ'!$C$2)*'РАСХОДЫ'!$C$3,0)-(1*2+1*4+0*6),0))*1157+'ДОХОДЫ'!$C$5*650+'ДОХОДЫ'!$C$6*1950+1*3000+1*8000+0*15000)</f>
        <v/>
      </c>
      <c r="E44" s="29">
        <f>((ROUND(40*'ДОХОДЫ'!$C$2*(1-'РАСХОДЫ'!$C$3),0))*452+(ROUND(40*'ДОХОДЫ'!$C$2*'РАСХОДЫ'!$C$3,0))*920+(MAX(ROUND(40*(1-'ДОХОДЫ'!$C$2)*(1-'РАСХОДЫ'!$C$3),0),0))*764+(MAX(ROUND(40*(1-'ДОХОДЫ'!$C$2)*'РАСХОДЫ'!$C$3,0)-(1*2+1*4+0*6),0))*1388+'ДОХОДЫ'!$C$5*780+'ДОХОДЫ'!$C$6*2340+1*3000+1*8000+0*15000)-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+(IF('РАСХОДЫ'!$C$4="Да",0,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0.15))+(((IF(40&lt;=60,13000*0.85,IF(40&lt;=85,13000,13000*1.15)))+3500+55*40*2+30*ROUND(40*'РАСХОДЫ'!$C$3,0)+90*ROUND(40*'РАСХОДЫ'!$C$3,0)+90*ROUND(40*'РАСХОДЫ'!$C$3,0)+75*ROUND(40*'РАСХОДЫ'!$C$3,0)+60*ROUND(40*'РАСХОДЫ'!$C$3,0)+5000+5000+(IF(40&lt;=50,8000,IF(40&lt;=75,8000*1.2,8000*1.4)))+2500+4000+(2500*0.7+2500*0.3*40/70)+(IF(40&lt;=50,3000,3000*2))+500+3000+5000+2000)*0.1))-0.04*((ROUND(40*'ДОХОДЫ'!$C$2*(1-'РАСХОДЫ'!$C$3),0))*452+(ROUND(40*'ДОХОДЫ'!$C$2*'РАСХОДЫ'!$C$3,0))*920+(MAX(ROUND(40*(1-'ДОХОДЫ'!$C$2)*(1-'РАСХОДЫ'!$C$3),0),0))*764+(MAX(ROUND(40*(1-'ДОХОДЫ'!$C$2)*'РАСХОДЫ'!$C$3,0)-(1*2+1*4+0*6),0))*1388+'ДОХОДЫ'!$C$5*780+'ДОХОДЫ'!$C$6*2340+1*3000+1*8000+0*15000)</f>
        <v/>
      </c>
    </row>
    <row r="45">
      <c r="A45" s="33" t="n">
        <v>50</v>
      </c>
      <c r="B45" s="29">
        <f>((ROUND(50*'ДОХОДЫ'!$C$2*(1-'РАСХОДЫ'!$C$3),0))*232+(ROUND(50*'ДОХОДЫ'!$C$2*'РАСХОДЫ'!$C$3,0))*472+(MAX(ROUND(50*(1-'ДОХОДЫ'!$C$2)*(1-'РАСХОДЫ'!$C$3),0),0))*392+(MAX(ROUND(50*(1-'ДОХОДЫ'!$C$2)*'РАСХОДЫ'!$C$3,0)-(1*2+1*4+0*6),0))*712+'ДОХОДЫ'!$C$5*400+'ДОХОДЫ'!$C$6*1200+1*3000+1*8000+0*15000)-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+(IF('РАСХОДЫ'!$C$4="Да",0,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0.15))+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0.1))-0.04*((ROUND(50*'ДОХОДЫ'!$C$2*(1-'РАСХОДЫ'!$C$3),0))*232+(ROUND(50*'ДОХОДЫ'!$C$2*'РАСХОДЫ'!$C$3,0))*472+(MAX(ROUND(50*(1-'ДОХОДЫ'!$C$2)*(1-'РАСХОДЫ'!$C$3),0),0))*392+(MAX(ROUND(50*(1-'ДОХОДЫ'!$C$2)*'РАСХОДЫ'!$C$3,0)-(1*2+1*4+0*6),0))*712+'ДОХОДЫ'!$C$5*400+'ДОХОДЫ'!$C$6*1200+1*3000+1*8000+0*15000)</f>
        <v/>
      </c>
      <c r="C45" s="29">
        <f>((ROUND(50*'ДОХОДЫ'!$C$2*(1-'РАСХОДЫ'!$C$3),0))*290+(ROUND(50*'ДОХОДЫ'!$C$2*'РАСХОДЫ'!$C$3,0))*590+(MAX(ROUND(50*(1-'ДОХОДЫ'!$C$2)*(1-'РАСХОДЫ'!$C$3),0),0))*490+(MAX(ROUND(50*(1-'ДОХОДЫ'!$C$2)*'РАСХОДЫ'!$C$3,0)-(1*2+1*4+0*6),0))*890+'ДОХОДЫ'!$C$5*500+'ДОХОДЫ'!$C$6*1500+1*3000+1*8000+0*15000)-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+(IF('РАСХОДЫ'!$C$4="Да",0,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0.15))+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0.1))-0.04*((ROUND(50*'ДОХОДЫ'!$C$2*(1-'РАСХОДЫ'!$C$3),0))*290+(ROUND(50*'ДОХОДЫ'!$C$2*'РАСХОДЫ'!$C$3,0))*590+(MAX(ROUND(50*(1-'ДОХОДЫ'!$C$2)*(1-'РАСХОДЫ'!$C$3),0),0))*490+(MAX(ROUND(50*(1-'ДОХОДЫ'!$C$2)*'РАСХОДЫ'!$C$3,0)-(1*2+1*4+0*6),0))*890+'ДОХОДЫ'!$C$5*500+'ДОХОДЫ'!$C$6*1500+1*3000+1*8000+0*15000)</f>
        <v/>
      </c>
      <c r="D45" s="29">
        <f>((ROUND(50*'ДОХОДЫ'!$C$2*(1-'РАСХОДЫ'!$C$3),0))*377+(ROUND(50*'ДОХОДЫ'!$C$2*'РАСХОДЫ'!$C$3,0))*767+(MAX(ROUND(50*(1-'ДОХОДЫ'!$C$2)*(1-'РАСХОДЫ'!$C$3),0),0))*637+(MAX(ROUND(50*(1-'ДОХОДЫ'!$C$2)*'РАСХОДЫ'!$C$3,0)-(1*2+1*4+0*6),0))*1157+'ДОХОДЫ'!$C$5*650+'ДОХОДЫ'!$C$6*1950+1*3000+1*8000+0*15000)-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+(IF('РАСХОДЫ'!$C$4="Да",0,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0.15))+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0.1))-0.04*((ROUND(50*'ДОХОДЫ'!$C$2*(1-'РАСХОДЫ'!$C$3),0))*377+(ROUND(50*'ДОХОДЫ'!$C$2*'РАСХОДЫ'!$C$3,0))*767+(MAX(ROUND(50*(1-'ДОХОДЫ'!$C$2)*(1-'РАСХОДЫ'!$C$3),0),0))*637+(MAX(ROUND(50*(1-'ДОХОДЫ'!$C$2)*'РАСХОДЫ'!$C$3,0)-(1*2+1*4+0*6),0))*1157+'ДОХОДЫ'!$C$5*650+'ДОХОДЫ'!$C$6*1950+1*3000+1*8000+0*15000)</f>
        <v/>
      </c>
      <c r="E45" s="29">
        <f>((ROUND(50*'ДОХОДЫ'!$C$2*(1-'РАСХОДЫ'!$C$3),0))*452+(ROUND(50*'ДОХОДЫ'!$C$2*'РАСХОДЫ'!$C$3,0))*920+(MAX(ROUND(50*(1-'ДОХОДЫ'!$C$2)*(1-'РАСХОДЫ'!$C$3),0),0))*764+(MAX(ROUND(50*(1-'ДОХОДЫ'!$C$2)*'РАСХОДЫ'!$C$3,0)-(1*2+1*4+0*6),0))*1388+'ДОХОДЫ'!$C$5*780+'ДОХОДЫ'!$C$6*2340+1*3000+1*8000+0*15000)-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+(IF('РАСХОДЫ'!$C$4="Да",0,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0.15))+(((IF(50&lt;=60,13000*0.85,IF(50&lt;=85,13000,13000*1.15)))+3500+55*50*2+30*ROUND(50*'РАСХОДЫ'!$C$3,0)+90*ROUND(50*'РАСХОДЫ'!$C$3,0)+90*ROUND(50*'РАСХОДЫ'!$C$3,0)+75*ROUND(50*'РАСХОДЫ'!$C$3,0)+60*ROUND(50*'РАСХОДЫ'!$C$3,0)+5000+5000+(IF(50&lt;=50,8000,IF(50&lt;=75,8000*1.2,8000*1.4)))+2500+4000+(2500*0.7+2500*0.3*50/70)+(IF(50&lt;=50,3000,3000*2))+500+3000+5000+2000)*0.1))-0.04*((ROUND(50*'ДОХОДЫ'!$C$2*(1-'РАСХОДЫ'!$C$3),0))*452+(ROUND(50*'ДОХОДЫ'!$C$2*'РАСХОДЫ'!$C$3,0))*920+(MAX(ROUND(50*(1-'ДОХОДЫ'!$C$2)*(1-'РАСХОДЫ'!$C$3),0),0))*764+(MAX(ROUND(50*(1-'ДОХОДЫ'!$C$2)*'РАСХОДЫ'!$C$3,0)-(1*2+1*4+0*6),0))*1388+'ДОХОДЫ'!$C$5*780+'ДОХОДЫ'!$C$6*2340+1*3000+1*8000+0*15000)</f>
        <v/>
      </c>
    </row>
    <row r="46">
      <c r="A46" s="33" t="n">
        <v>60</v>
      </c>
      <c r="B46" s="29">
        <f>((ROUND(60*'ДОХОДЫ'!$C$2*(1-'РАСХОДЫ'!$C$3),0))*232+(ROUND(60*'ДОХОДЫ'!$C$2*'РАСХОДЫ'!$C$3,0))*472+(MAX(ROUND(60*(1-'ДОХОДЫ'!$C$2)*(1-'РАСХОДЫ'!$C$3),0),0))*392+(MAX(ROUND(60*(1-'ДОХОДЫ'!$C$2)*'РАСХОДЫ'!$C$3,0)-(1*2+1*4+0*6),0))*712+'ДОХОДЫ'!$C$5*400+'ДОХОДЫ'!$C$6*1200+1*3000+1*8000+0*15000)-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+(IF('РАСХОДЫ'!$C$4="Да",0,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0.15))+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0.1))-0.04*((ROUND(60*'ДОХОДЫ'!$C$2*(1-'РАСХОДЫ'!$C$3),0))*232+(ROUND(60*'ДОХОДЫ'!$C$2*'РАСХОДЫ'!$C$3,0))*472+(MAX(ROUND(60*(1-'ДОХОДЫ'!$C$2)*(1-'РАСХОДЫ'!$C$3),0),0))*392+(MAX(ROUND(60*(1-'ДОХОДЫ'!$C$2)*'РАСХОДЫ'!$C$3,0)-(1*2+1*4+0*6),0))*712+'ДОХОДЫ'!$C$5*400+'ДОХОДЫ'!$C$6*1200+1*3000+1*8000+0*15000)</f>
        <v/>
      </c>
      <c r="C46" s="29">
        <f>((ROUND(60*'ДОХОДЫ'!$C$2*(1-'РАСХОДЫ'!$C$3),0))*290+(ROUND(60*'ДОХОДЫ'!$C$2*'РАСХОДЫ'!$C$3,0))*590+(MAX(ROUND(60*(1-'ДОХОДЫ'!$C$2)*(1-'РАСХОДЫ'!$C$3),0),0))*490+(MAX(ROUND(60*(1-'ДОХОДЫ'!$C$2)*'РАСХОДЫ'!$C$3,0)-(1*2+1*4+0*6),0))*890+'ДОХОДЫ'!$C$5*500+'ДОХОДЫ'!$C$6*1500+1*3000+1*8000+0*15000)-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+(IF('РАСХОДЫ'!$C$4="Да",0,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0.15))+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0.1))-0.04*((ROUND(60*'ДОХОДЫ'!$C$2*(1-'РАСХОДЫ'!$C$3),0))*290+(ROUND(60*'ДОХОДЫ'!$C$2*'РАСХОДЫ'!$C$3,0))*590+(MAX(ROUND(60*(1-'ДОХОДЫ'!$C$2)*(1-'РАСХОДЫ'!$C$3),0),0))*490+(MAX(ROUND(60*(1-'ДОХОДЫ'!$C$2)*'РАСХОДЫ'!$C$3,0)-(1*2+1*4+0*6),0))*890+'ДОХОДЫ'!$C$5*500+'ДОХОДЫ'!$C$6*1500+1*3000+1*8000+0*15000)</f>
        <v/>
      </c>
      <c r="D46" s="29">
        <f>((ROUND(60*'ДОХОДЫ'!$C$2*(1-'РАСХОДЫ'!$C$3),0))*377+(ROUND(60*'ДОХОДЫ'!$C$2*'РАСХОДЫ'!$C$3,0))*767+(MAX(ROUND(60*(1-'ДОХОДЫ'!$C$2)*(1-'РАСХОДЫ'!$C$3),0),0))*637+(MAX(ROUND(60*(1-'ДОХОДЫ'!$C$2)*'РАСХОДЫ'!$C$3,0)-(1*2+1*4+0*6),0))*1157+'ДОХОДЫ'!$C$5*650+'ДОХОДЫ'!$C$6*1950+1*3000+1*8000+0*15000)-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+(IF('РАСХОДЫ'!$C$4="Да",0,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0.15))+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0.1))-0.04*((ROUND(60*'ДОХОДЫ'!$C$2*(1-'РАСХОДЫ'!$C$3),0))*377+(ROUND(60*'ДОХОДЫ'!$C$2*'РАСХОДЫ'!$C$3,0))*767+(MAX(ROUND(60*(1-'ДОХОДЫ'!$C$2)*(1-'РАСХОДЫ'!$C$3),0),0))*637+(MAX(ROUND(60*(1-'ДОХОДЫ'!$C$2)*'РАСХОДЫ'!$C$3,0)-(1*2+1*4+0*6),0))*1157+'ДОХОДЫ'!$C$5*650+'ДОХОДЫ'!$C$6*1950+1*3000+1*8000+0*15000)</f>
        <v/>
      </c>
      <c r="E46" s="29">
        <f>((ROUND(60*'ДОХОДЫ'!$C$2*(1-'РАСХОДЫ'!$C$3),0))*452+(ROUND(60*'ДОХОДЫ'!$C$2*'РАСХОДЫ'!$C$3,0))*920+(MAX(ROUND(60*(1-'ДОХОДЫ'!$C$2)*(1-'РАСХОДЫ'!$C$3),0),0))*764+(MAX(ROUND(60*(1-'ДОХОДЫ'!$C$2)*'РАСХОДЫ'!$C$3,0)-(1*2+1*4+0*6),0))*1388+'ДОХОДЫ'!$C$5*780+'ДОХОДЫ'!$C$6*2340+1*3000+1*8000+0*15000)-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+(IF('РАСХОДЫ'!$C$4="Да",0,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0.15))+(((IF(60&lt;=60,13000*0.85,IF(60&lt;=85,13000,13000*1.15)))+3500+55*60*2+30*ROUND(60*'РАСХОДЫ'!$C$3,0)+90*ROUND(60*'РАСХОДЫ'!$C$3,0)+90*ROUND(60*'РАСХОДЫ'!$C$3,0)+75*ROUND(60*'РАСХОДЫ'!$C$3,0)+60*ROUND(60*'РАСХОДЫ'!$C$3,0)+5000+5000+(IF(60&lt;=50,8000,IF(60&lt;=75,8000*1.2,8000*1.4)))+2500+4000+(2500*0.7+2500*0.3*60/70)+(IF(60&lt;=50,3000,3000*2))+500+3000+5000+2000)*0.1))-0.04*((ROUND(60*'ДОХОДЫ'!$C$2*(1-'РАСХОДЫ'!$C$3),0))*452+(ROUND(60*'ДОХОДЫ'!$C$2*'РАСХОДЫ'!$C$3,0))*920+(MAX(ROUND(60*(1-'ДОХОДЫ'!$C$2)*(1-'РАСХОДЫ'!$C$3),0),0))*764+(MAX(ROUND(60*(1-'ДОХОДЫ'!$C$2)*'РАСХОДЫ'!$C$3,0)-(1*2+1*4+0*6),0))*1388+'ДОХОДЫ'!$C$5*780+'ДОХОДЫ'!$C$6*2340+1*3000+1*8000+0*15000)</f>
        <v/>
      </c>
    </row>
    <row r="47">
      <c r="A47" s="33" t="n">
        <v>70</v>
      </c>
      <c r="B47" s="29">
        <f>((ROUND(70*'ДОХОДЫ'!$C$2*(1-'РАСХОДЫ'!$C$3),0))*232+(ROUND(70*'ДОХОДЫ'!$C$2*'РАСХОДЫ'!$C$3,0))*472+(MAX(ROUND(70*(1-'ДОХОДЫ'!$C$2)*(1-'РАСХОДЫ'!$C$3),0),0))*392+(MAX(ROUND(70*(1-'ДОХОДЫ'!$C$2)*'РАСХОДЫ'!$C$3,0)-(1*2+1*4+0*6),0))*712+'ДОХОДЫ'!$C$5*400+'ДОХОДЫ'!$C$6*1200+1*3000+1*8000+0*15000)-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+(IF('РАСХОДЫ'!$C$4="Да",0,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0.15))+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0.1))-0.04*((ROUND(70*'ДОХОДЫ'!$C$2*(1-'РАСХОДЫ'!$C$3),0))*232+(ROUND(70*'ДОХОДЫ'!$C$2*'РАСХОДЫ'!$C$3,0))*472+(MAX(ROUND(70*(1-'ДОХОДЫ'!$C$2)*(1-'РАСХОДЫ'!$C$3),0),0))*392+(MAX(ROUND(70*(1-'ДОХОДЫ'!$C$2)*'РАСХОДЫ'!$C$3,0)-(1*2+1*4+0*6),0))*712+'ДОХОДЫ'!$C$5*400+'ДОХОДЫ'!$C$6*1200+1*3000+1*8000+0*15000)</f>
        <v/>
      </c>
      <c r="C47" s="29">
        <f>((ROUND(70*'ДОХОДЫ'!$C$2*(1-'РАСХОДЫ'!$C$3),0))*290+(ROUND(70*'ДОХОДЫ'!$C$2*'РАСХОДЫ'!$C$3,0))*590+(MAX(ROUND(70*(1-'ДОХОДЫ'!$C$2)*(1-'РАСХОДЫ'!$C$3),0),0))*490+(MAX(ROUND(70*(1-'ДОХОДЫ'!$C$2)*'РАСХОДЫ'!$C$3,0)-(1*2+1*4+0*6),0))*890+'ДОХОДЫ'!$C$5*500+'ДОХОДЫ'!$C$6*1500+1*3000+1*8000+0*15000)-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+(IF('РАСХОДЫ'!$C$4="Да",0,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0.15))+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0.1))-0.04*((ROUND(70*'ДОХОДЫ'!$C$2*(1-'РАСХОДЫ'!$C$3),0))*290+(ROUND(70*'ДОХОДЫ'!$C$2*'РАСХОДЫ'!$C$3,0))*590+(MAX(ROUND(70*(1-'ДОХОДЫ'!$C$2)*(1-'РАСХОДЫ'!$C$3),0),0))*490+(MAX(ROUND(70*(1-'ДОХОДЫ'!$C$2)*'РАСХОДЫ'!$C$3,0)-(1*2+1*4+0*6),0))*890+'ДОХОДЫ'!$C$5*500+'ДОХОДЫ'!$C$6*1500+1*3000+1*8000+0*15000)</f>
        <v/>
      </c>
      <c r="D47" s="29">
        <f>((ROUND(70*'ДОХОДЫ'!$C$2*(1-'РАСХОДЫ'!$C$3),0))*377+(ROUND(70*'ДОХОДЫ'!$C$2*'РАСХОДЫ'!$C$3,0))*767+(MAX(ROUND(70*(1-'ДОХОДЫ'!$C$2)*(1-'РАСХОДЫ'!$C$3),0),0))*637+(MAX(ROUND(70*(1-'ДОХОДЫ'!$C$2)*'РАСХОДЫ'!$C$3,0)-(1*2+1*4+0*6),0))*1157+'ДОХОДЫ'!$C$5*650+'ДОХОДЫ'!$C$6*1950+1*3000+1*8000+0*15000)-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+(IF('РАСХОДЫ'!$C$4="Да",0,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0.15))+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0.1))-0.04*((ROUND(70*'ДОХОДЫ'!$C$2*(1-'РАСХОДЫ'!$C$3),0))*377+(ROUND(70*'ДОХОДЫ'!$C$2*'РАСХОДЫ'!$C$3,0))*767+(MAX(ROUND(70*(1-'ДОХОДЫ'!$C$2)*(1-'РАСХОДЫ'!$C$3),0),0))*637+(MAX(ROUND(70*(1-'ДОХОДЫ'!$C$2)*'РАСХОДЫ'!$C$3,0)-(1*2+1*4+0*6),0))*1157+'ДОХОДЫ'!$C$5*650+'ДОХОДЫ'!$C$6*1950+1*3000+1*8000+0*15000)</f>
        <v/>
      </c>
      <c r="E47" s="29">
        <f>((ROUND(70*'ДОХОДЫ'!$C$2*(1-'РАСХОДЫ'!$C$3),0))*452+(ROUND(70*'ДОХОДЫ'!$C$2*'РАСХОДЫ'!$C$3,0))*920+(MAX(ROUND(70*(1-'ДОХОДЫ'!$C$2)*(1-'РАСХОДЫ'!$C$3),0),0))*764+(MAX(ROUND(70*(1-'ДОХОДЫ'!$C$2)*'РАСХОДЫ'!$C$3,0)-(1*2+1*4+0*6),0))*1388+'ДОХОДЫ'!$C$5*780+'ДОХОДЫ'!$C$6*2340+1*3000+1*8000+0*15000)-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+(IF('РАСХОДЫ'!$C$4="Да",0,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0.15))+(((IF(70&lt;=60,13000*0.85,IF(70&lt;=85,13000,13000*1.15)))+3500+55*70*2+30*ROUND(70*'РАСХОДЫ'!$C$3,0)+90*ROUND(70*'РАСХОДЫ'!$C$3,0)+90*ROUND(70*'РАСХОДЫ'!$C$3,0)+75*ROUND(70*'РАСХОДЫ'!$C$3,0)+60*ROUND(70*'РАСХОДЫ'!$C$3,0)+5000+5000+(IF(70&lt;=50,8000,IF(70&lt;=75,8000*1.2,8000*1.4)))+2500+4000+(2500*0.7+2500*0.3*70/70)+(IF(70&lt;=50,3000,3000*2))+500+3000+5000+2000)*0.1))-0.04*((ROUND(70*'ДОХОДЫ'!$C$2*(1-'РАСХОДЫ'!$C$3),0))*452+(ROUND(70*'ДОХОДЫ'!$C$2*'РАСХОДЫ'!$C$3,0))*920+(MAX(ROUND(70*(1-'ДОХОДЫ'!$C$2)*(1-'РАСХОДЫ'!$C$3),0),0))*764+(MAX(ROUND(70*(1-'ДОХОДЫ'!$C$2)*'РАСХОДЫ'!$C$3,0)-(1*2+1*4+0*6),0))*1388+'ДОХОДЫ'!$C$5*780+'ДОХОДЫ'!$C$6*2340+1*3000+1*8000+0*15000)</f>
        <v/>
      </c>
    </row>
    <row r="48">
      <c r="A48" s="33" t="n">
        <v>80</v>
      </c>
      <c r="B48" s="29">
        <f>((ROUND(80*'ДОХОДЫ'!$C$2*(1-'РАСХОДЫ'!$C$3),0))*232+(ROUND(80*'ДОХОДЫ'!$C$2*'РАСХОДЫ'!$C$3,0))*472+(MAX(ROUND(80*(1-'ДОХОДЫ'!$C$2)*(1-'РАСХОДЫ'!$C$3),0),0))*392+(MAX(ROUND(80*(1-'ДОХОДЫ'!$C$2)*'РАСХОДЫ'!$C$3,0)-(1*2+1*4+0*6),0))*712+'ДОХОДЫ'!$C$5*400+'ДОХОДЫ'!$C$6*1200+1*3000+1*8000+0*15000)-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+(IF('РАСХОДЫ'!$C$4="Да",0,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0.15))+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0.1))-0.04*((ROUND(80*'ДОХОДЫ'!$C$2*(1-'РАСХОДЫ'!$C$3),0))*232+(ROUND(80*'ДОХОДЫ'!$C$2*'РАСХОДЫ'!$C$3,0))*472+(MAX(ROUND(80*(1-'ДОХОДЫ'!$C$2)*(1-'РАСХОДЫ'!$C$3),0),0))*392+(MAX(ROUND(80*(1-'ДОХОДЫ'!$C$2)*'РАСХОДЫ'!$C$3,0)-(1*2+1*4+0*6),0))*712+'ДОХОДЫ'!$C$5*400+'ДОХОДЫ'!$C$6*1200+1*3000+1*8000+0*15000)</f>
        <v/>
      </c>
      <c r="C48" s="29">
        <f>((ROUND(80*'ДОХОДЫ'!$C$2*(1-'РАСХОДЫ'!$C$3),0))*290+(ROUND(80*'ДОХОДЫ'!$C$2*'РАСХОДЫ'!$C$3,0))*590+(MAX(ROUND(80*(1-'ДОХОДЫ'!$C$2)*(1-'РАСХОДЫ'!$C$3),0),0))*490+(MAX(ROUND(80*(1-'ДОХОДЫ'!$C$2)*'РАСХОДЫ'!$C$3,0)-(1*2+1*4+0*6),0))*890+'ДОХОДЫ'!$C$5*500+'ДОХОДЫ'!$C$6*1500+1*3000+1*8000+0*15000)-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+(IF('РАСХОДЫ'!$C$4="Да",0,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0.15))+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0.1))-0.04*((ROUND(80*'ДОХОДЫ'!$C$2*(1-'РАСХОДЫ'!$C$3),0))*290+(ROUND(80*'ДОХОДЫ'!$C$2*'РАСХОДЫ'!$C$3,0))*590+(MAX(ROUND(80*(1-'ДОХОДЫ'!$C$2)*(1-'РАСХОДЫ'!$C$3),0),0))*490+(MAX(ROUND(80*(1-'ДОХОДЫ'!$C$2)*'РАСХОДЫ'!$C$3,0)-(1*2+1*4+0*6),0))*890+'ДОХОДЫ'!$C$5*500+'ДОХОДЫ'!$C$6*1500+1*3000+1*8000+0*15000)</f>
        <v/>
      </c>
      <c r="D48" s="29">
        <f>((ROUND(80*'ДОХОДЫ'!$C$2*(1-'РАСХОДЫ'!$C$3),0))*377+(ROUND(80*'ДОХОДЫ'!$C$2*'РАСХОДЫ'!$C$3,0))*767+(MAX(ROUND(80*(1-'ДОХОДЫ'!$C$2)*(1-'РАСХОДЫ'!$C$3),0),0))*637+(MAX(ROUND(80*(1-'ДОХОДЫ'!$C$2)*'РАСХОДЫ'!$C$3,0)-(1*2+1*4+0*6),0))*1157+'ДОХОДЫ'!$C$5*650+'ДОХОДЫ'!$C$6*1950+1*3000+1*8000+0*15000)-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+(IF('РАСХОДЫ'!$C$4="Да",0,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0.15))+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0.1))-0.04*((ROUND(80*'ДОХОДЫ'!$C$2*(1-'РАСХОДЫ'!$C$3),0))*377+(ROUND(80*'ДОХОДЫ'!$C$2*'РАСХОДЫ'!$C$3,0))*767+(MAX(ROUND(80*(1-'ДОХОДЫ'!$C$2)*(1-'РАСХОДЫ'!$C$3),0),0))*637+(MAX(ROUND(80*(1-'ДОХОДЫ'!$C$2)*'РАСХОДЫ'!$C$3,0)-(1*2+1*4+0*6),0))*1157+'ДОХОДЫ'!$C$5*650+'ДОХОДЫ'!$C$6*1950+1*3000+1*8000+0*15000)</f>
        <v/>
      </c>
      <c r="E48" s="29">
        <f>((ROUND(80*'ДОХОДЫ'!$C$2*(1-'РАСХОДЫ'!$C$3),0))*452+(ROUND(80*'ДОХОДЫ'!$C$2*'РАСХОДЫ'!$C$3,0))*920+(MAX(ROUND(80*(1-'ДОХОДЫ'!$C$2)*(1-'РАСХОДЫ'!$C$3),0),0))*764+(MAX(ROUND(80*(1-'ДОХОДЫ'!$C$2)*'РАСХОДЫ'!$C$3,0)-(1*2+1*4+0*6),0))*1388+'ДОХОДЫ'!$C$5*780+'ДОХОДЫ'!$C$6*2340+1*3000+1*8000+0*15000)-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+(IF('РАСХОДЫ'!$C$4="Да",0,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0.15))+(((IF(80&lt;=60,13000*0.85,IF(80&lt;=85,13000,13000*1.15)))+3500+55*80*2+30*ROUND(80*'РАСХОДЫ'!$C$3,0)+90*ROUND(80*'РАСХОДЫ'!$C$3,0)+90*ROUND(80*'РАСХОДЫ'!$C$3,0)+75*ROUND(80*'РАСХОДЫ'!$C$3,0)+60*ROUND(80*'РАСХОДЫ'!$C$3,0)+5000+5000+(IF(80&lt;=50,8000,IF(80&lt;=75,8000*1.2,8000*1.4)))+2500+4000+(2500*0.7+2500*0.3*80/70)+(IF(80&lt;=50,3000,3000*2))+500+3000+5000+2000)*0.1))-0.04*((ROUND(80*'ДОХОДЫ'!$C$2*(1-'РАСХОДЫ'!$C$3),0))*452+(ROUND(80*'ДОХОДЫ'!$C$2*'РАСХОДЫ'!$C$3,0))*920+(MAX(ROUND(80*(1-'ДОХОДЫ'!$C$2)*(1-'РАСХОДЫ'!$C$3),0),0))*764+(MAX(ROUND(80*(1-'ДОХОДЫ'!$C$2)*'РАСХОДЫ'!$C$3,0)-(1*2+1*4+0*6),0))*1388+'ДОХОДЫ'!$C$5*780+'ДОХОДЫ'!$C$6*2340+1*3000+1*8000+0*15000)</f>
        <v/>
      </c>
    </row>
    <row r="49">
      <c r="A49" s="33" t="n">
        <v>90</v>
      </c>
      <c r="B49" s="29">
        <f>((ROUND(90*'ДОХОДЫ'!$C$2*(1-'РАСХОДЫ'!$C$3),0))*232+(ROUND(90*'ДОХОДЫ'!$C$2*'РАСХОДЫ'!$C$3,0))*472+(MAX(ROUND(90*(1-'ДОХОДЫ'!$C$2)*(1-'РАСХОДЫ'!$C$3),0),0))*392+(MAX(ROUND(90*(1-'ДОХОДЫ'!$C$2)*'РАСХОДЫ'!$C$3,0)-(1*2+1*4+0*6),0))*712+'ДОХОДЫ'!$C$5*400+'ДОХОДЫ'!$C$6*1200+1*3000+1*8000+0*15000)-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+(IF('РАСХОДЫ'!$C$4="Да",0,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0.15))+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0.1))-0.04*((ROUND(90*'ДОХОДЫ'!$C$2*(1-'РАСХОДЫ'!$C$3),0))*232+(ROUND(90*'ДОХОДЫ'!$C$2*'РАСХОДЫ'!$C$3,0))*472+(MAX(ROUND(90*(1-'ДОХОДЫ'!$C$2)*(1-'РАСХОДЫ'!$C$3),0),0))*392+(MAX(ROUND(90*(1-'ДОХОДЫ'!$C$2)*'РАСХОДЫ'!$C$3,0)-(1*2+1*4+0*6),0))*712+'ДОХОДЫ'!$C$5*400+'ДОХОДЫ'!$C$6*1200+1*3000+1*8000+0*15000)</f>
        <v/>
      </c>
      <c r="C49" s="29">
        <f>((ROUND(90*'ДОХОДЫ'!$C$2*(1-'РАСХОДЫ'!$C$3),0))*290+(ROUND(90*'ДОХОДЫ'!$C$2*'РАСХОДЫ'!$C$3,0))*590+(MAX(ROUND(90*(1-'ДОХОДЫ'!$C$2)*(1-'РАСХОДЫ'!$C$3),0),0))*490+(MAX(ROUND(90*(1-'ДОХОДЫ'!$C$2)*'РАСХОДЫ'!$C$3,0)-(1*2+1*4+0*6),0))*890+'ДОХОДЫ'!$C$5*500+'ДОХОДЫ'!$C$6*1500+1*3000+1*8000+0*15000)-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+(IF('РАСХОДЫ'!$C$4="Да",0,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0.15))+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0.1))-0.04*((ROUND(90*'ДОХОДЫ'!$C$2*(1-'РАСХОДЫ'!$C$3),0))*290+(ROUND(90*'ДОХОДЫ'!$C$2*'РАСХОДЫ'!$C$3,0))*590+(MAX(ROUND(90*(1-'ДОХОДЫ'!$C$2)*(1-'РАСХОДЫ'!$C$3),0),0))*490+(MAX(ROUND(90*(1-'ДОХОДЫ'!$C$2)*'РАСХОДЫ'!$C$3,0)-(1*2+1*4+0*6),0))*890+'ДОХОДЫ'!$C$5*500+'ДОХОДЫ'!$C$6*1500+1*3000+1*8000+0*15000)</f>
        <v/>
      </c>
      <c r="D49" s="29">
        <f>((ROUND(90*'ДОХОДЫ'!$C$2*(1-'РАСХОДЫ'!$C$3),0))*377+(ROUND(90*'ДОХОДЫ'!$C$2*'РАСХОДЫ'!$C$3,0))*767+(MAX(ROUND(90*(1-'ДОХОДЫ'!$C$2)*(1-'РАСХОДЫ'!$C$3),0),0))*637+(MAX(ROUND(90*(1-'ДОХОДЫ'!$C$2)*'РАСХОДЫ'!$C$3,0)-(1*2+1*4+0*6),0))*1157+'ДОХОДЫ'!$C$5*650+'ДОХОДЫ'!$C$6*1950+1*3000+1*8000+0*15000)-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+(IF('РАСХОДЫ'!$C$4="Да",0,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0.15))+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0.1))-0.04*((ROUND(90*'ДОХОДЫ'!$C$2*(1-'РАСХОДЫ'!$C$3),0))*377+(ROUND(90*'ДОХОДЫ'!$C$2*'РАСХОДЫ'!$C$3,0))*767+(MAX(ROUND(90*(1-'ДОХОДЫ'!$C$2)*(1-'РАСХОДЫ'!$C$3),0),0))*637+(MAX(ROUND(90*(1-'ДОХОДЫ'!$C$2)*'РАСХОДЫ'!$C$3,0)-(1*2+1*4+0*6),0))*1157+'ДОХОДЫ'!$C$5*650+'ДОХОДЫ'!$C$6*1950+1*3000+1*8000+0*15000)</f>
        <v/>
      </c>
      <c r="E49" s="29">
        <f>((ROUND(90*'ДОХОДЫ'!$C$2*(1-'РАСХОДЫ'!$C$3),0))*452+(ROUND(90*'ДОХОДЫ'!$C$2*'РАСХОДЫ'!$C$3,0))*920+(MAX(ROUND(90*(1-'ДОХОДЫ'!$C$2)*(1-'РАСХОДЫ'!$C$3),0),0))*764+(MAX(ROUND(90*(1-'ДОХОДЫ'!$C$2)*'РАСХОДЫ'!$C$3,0)-(1*2+1*4+0*6),0))*1388+'ДОХОДЫ'!$C$5*780+'ДОХОДЫ'!$C$6*2340+1*3000+1*8000+0*15000)-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+(IF('РАСХОДЫ'!$C$4="Да",0,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0.15))+(((IF(90&lt;=60,13000*0.85,IF(90&lt;=85,13000,13000*1.15)))+3500+55*90*2+30*ROUND(90*'РАСХОДЫ'!$C$3,0)+90*ROUND(90*'РАСХОДЫ'!$C$3,0)+90*ROUND(90*'РАСХОДЫ'!$C$3,0)+75*ROUND(90*'РАСХОДЫ'!$C$3,0)+60*ROUND(90*'РАСХОДЫ'!$C$3,0)+5000+5000+(IF(90&lt;=50,8000,IF(90&lt;=75,8000*1.2,8000*1.4)))+2500+4000+(2500*0.7+2500*0.3*90/70)+(IF(90&lt;=50,3000,3000*2))+500+3000+5000+2000)*0.1))-0.04*((ROUND(90*'ДОХОДЫ'!$C$2*(1-'РАСХОДЫ'!$C$3),0))*452+(ROUND(90*'ДОХОДЫ'!$C$2*'РАСХОДЫ'!$C$3,0))*920+(MAX(ROUND(90*(1-'ДОХОДЫ'!$C$2)*(1-'РАСХОДЫ'!$C$3),0),0))*764+(MAX(ROUND(90*(1-'ДОХОДЫ'!$C$2)*'РАСХОДЫ'!$C$3,0)-(1*2+1*4+0*6),0))*1388+'ДОХОДЫ'!$C$5*780+'ДОХОДЫ'!$C$6*2340+1*3000+1*8000+0*15000)</f>
        <v/>
      </c>
    </row>
    <row r="50">
      <c r="A50" s="33" t="n">
        <v>100</v>
      </c>
      <c r="B50" s="29">
        <f>((ROUND(100*'ДОХОДЫ'!$C$2*(1-'РАСХОДЫ'!$C$3),0))*232+(ROUND(100*'ДОХОДЫ'!$C$2*'РАСХОДЫ'!$C$3,0))*472+(MAX(ROUND(100*(1-'ДОХОДЫ'!$C$2)*(1-'РАСХОДЫ'!$C$3),0),0))*392+(MAX(ROUND(100*(1-'ДОХОДЫ'!$C$2)*'РАСХОДЫ'!$C$3,0)-(1*2+1*4+0*6),0))*712+'ДОХОДЫ'!$C$5*400+'ДОХОДЫ'!$C$6*1200+1*3000+1*8000+0*15000)-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+(IF('РАСХОДЫ'!$C$4="Да",0,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0.15))+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0.1))-0.04*((ROUND(100*'ДОХОДЫ'!$C$2*(1-'РАСХОДЫ'!$C$3),0))*232+(ROUND(100*'ДОХОДЫ'!$C$2*'РАСХОДЫ'!$C$3,0))*472+(MAX(ROUND(100*(1-'ДОХОДЫ'!$C$2)*(1-'РАСХОДЫ'!$C$3),0),0))*392+(MAX(ROUND(100*(1-'ДОХОДЫ'!$C$2)*'РАСХОДЫ'!$C$3,0)-(1*2+1*4+0*6),0))*712+'ДОХОДЫ'!$C$5*400+'ДОХОДЫ'!$C$6*1200+1*3000+1*8000+0*15000)</f>
        <v/>
      </c>
      <c r="C50" s="29">
        <f>((ROUND(100*'ДОХОДЫ'!$C$2*(1-'РАСХОДЫ'!$C$3),0))*290+(ROUND(100*'ДОХОДЫ'!$C$2*'РАСХОДЫ'!$C$3,0))*590+(MAX(ROUND(100*(1-'ДОХОДЫ'!$C$2)*(1-'РАСХОДЫ'!$C$3),0),0))*490+(MAX(ROUND(100*(1-'ДОХОДЫ'!$C$2)*'РАСХОДЫ'!$C$3,0)-(1*2+1*4+0*6),0))*890+'ДОХОДЫ'!$C$5*500+'ДОХОДЫ'!$C$6*1500+1*3000+1*8000+0*15000)-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+(IF('РАСХОДЫ'!$C$4="Да",0,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0.15))+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0.1))-0.04*((ROUND(100*'ДОХОДЫ'!$C$2*(1-'РАСХОДЫ'!$C$3),0))*290+(ROUND(100*'ДОХОДЫ'!$C$2*'РАСХОДЫ'!$C$3,0))*590+(MAX(ROUND(100*(1-'ДОХОДЫ'!$C$2)*(1-'РАСХОДЫ'!$C$3),0),0))*490+(MAX(ROUND(100*(1-'ДОХОДЫ'!$C$2)*'РАСХОДЫ'!$C$3,0)-(1*2+1*4+0*6),0))*890+'ДОХОДЫ'!$C$5*500+'ДОХОДЫ'!$C$6*1500+1*3000+1*8000+0*15000)</f>
        <v/>
      </c>
      <c r="D50" s="29">
        <f>((ROUND(100*'ДОХОДЫ'!$C$2*(1-'РАСХОДЫ'!$C$3),0))*377+(ROUND(100*'ДОХОДЫ'!$C$2*'РАСХОДЫ'!$C$3,0))*767+(MAX(ROUND(100*(1-'ДОХОДЫ'!$C$2)*(1-'РАСХОДЫ'!$C$3),0),0))*637+(MAX(ROUND(100*(1-'ДОХОДЫ'!$C$2)*'РАСХОДЫ'!$C$3,0)-(1*2+1*4+0*6),0))*1157+'ДОХОДЫ'!$C$5*650+'ДОХОДЫ'!$C$6*1950+1*3000+1*8000+0*15000)-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+(IF('РАСХОДЫ'!$C$4="Да",0,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0.15))+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0.1))-0.04*((ROUND(100*'ДОХОДЫ'!$C$2*(1-'РАСХОДЫ'!$C$3),0))*377+(ROUND(100*'ДОХОДЫ'!$C$2*'РАСХОДЫ'!$C$3,0))*767+(MAX(ROUND(100*(1-'ДОХОДЫ'!$C$2)*(1-'РАСХОДЫ'!$C$3),0),0))*637+(MAX(ROUND(100*(1-'ДОХОДЫ'!$C$2)*'РАСХОДЫ'!$C$3,0)-(1*2+1*4+0*6),0))*1157+'ДОХОДЫ'!$C$5*650+'ДОХОДЫ'!$C$6*1950+1*3000+1*8000+0*15000)</f>
        <v/>
      </c>
      <c r="E50" s="29">
        <f>((ROUND(100*'ДОХОДЫ'!$C$2*(1-'РАСХОДЫ'!$C$3),0))*452+(ROUND(100*'ДОХОДЫ'!$C$2*'РАСХОДЫ'!$C$3,0))*920+(MAX(ROUND(100*(1-'ДОХОДЫ'!$C$2)*(1-'РАСХОДЫ'!$C$3),0),0))*764+(MAX(ROUND(100*(1-'ДОХОДЫ'!$C$2)*'РАСХОДЫ'!$C$3,0)-(1*2+1*4+0*6),0))*1388+'ДОХОДЫ'!$C$5*780+'ДОХОДЫ'!$C$6*2340+1*3000+1*8000+0*15000)-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+(IF('РАСХОДЫ'!$C$4="Да",0,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0.15))+(((IF(100&lt;=60,13000*0.85,IF(100&lt;=85,13000,13000*1.15)))+3500+55*100*2+30*ROUND(100*'РАСХОДЫ'!$C$3,0)+90*ROUND(100*'РАСХОДЫ'!$C$3,0)+90*ROUND(100*'РАСХОДЫ'!$C$3,0)+75*ROUND(100*'РАСХОДЫ'!$C$3,0)+60*ROUND(100*'РАСХОДЫ'!$C$3,0)+5000+5000+(IF(100&lt;=50,8000,IF(100&lt;=75,8000*1.2,8000*1.4)))+2500+4000+(2500*0.7+2500*0.3*100/70)+(IF(100&lt;=50,3000,3000*2))+500+3000+5000+2000)*0.1))-0.04*((ROUND(100*'ДОХОДЫ'!$C$2*(1-'РАСХОДЫ'!$C$3),0))*452+(ROUND(100*'ДОХОДЫ'!$C$2*'РАСХОДЫ'!$C$3,0))*920+(MAX(ROUND(100*(1-'ДОХОДЫ'!$C$2)*(1-'РАСХОДЫ'!$C$3),0),0))*764+(MAX(ROUND(100*(1-'ДОХОДЫ'!$C$2)*'РАСХОДЫ'!$C$3,0)-(1*2+1*4+0*6),0))*1388+'ДОХОДЫ'!$C$5*780+'ДОХОДЫ'!$C$6*2340+1*3000+1*8000+0*15000)</f>
        <v/>
      </c>
    </row>
    <row r="53">
      <c r="A53" s="1" t="inlineStr">
        <is>
          <t>ТРИ СЦЕНАРИЯ</t>
        </is>
      </c>
      <c r="B53" s="1" t="n"/>
      <c r="C53" s="1" t="n"/>
      <c r="D53" s="1" t="n"/>
    </row>
    <row r="54">
      <c r="A54" s="28" t="inlineStr">
        <is>
          <t>Параметр</t>
        </is>
      </c>
      <c r="B54" s="28" t="inlineStr">
        <is>
          <t>Пессимист</t>
        </is>
      </c>
      <c r="C54" s="28" t="inlineStr">
        <is>
          <t>Базовый</t>
        </is>
      </c>
      <c r="D54" s="28" t="inlineStr">
        <is>
          <t>Оптимист</t>
        </is>
      </c>
    </row>
    <row r="55">
      <c r="A55" s="21" t="inlineStr">
        <is>
          <t>Участников</t>
        </is>
      </c>
      <c r="B55" s="6" t="n">
        <v>40</v>
      </c>
      <c r="C55" s="6" t="n">
        <v>70</v>
      </c>
      <c r="D55" s="6" t="n">
        <v>100</v>
      </c>
    </row>
    <row r="56">
      <c r="A56" s="21" t="inlineStr">
        <is>
          <t>Расходы (сценарий)</t>
        </is>
      </c>
      <c r="B56" s="6" t="inlineStr">
        <is>
          <t>High</t>
        </is>
      </c>
      <c r="C56" s="6" t="inlineStr">
        <is>
          <t>Mid</t>
        </is>
      </c>
      <c r="D56" s="6" t="inlineStr">
        <is>
          <t>Low</t>
        </is>
      </c>
    </row>
    <row r="57">
      <c r="A57" s="21" t="inlineStr">
        <is>
          <t>Доля Early Bird</t>
        </is>
      </c>
      <c r="B57" s="6" t="inlineStr">
        <is>
          <t>80%</t>
        </is>
      </c>
      <c r="C57" s="6" t="inlineStr">
        <is>
          <t>50%</t>
        </is>
      </c>
      <c r="D57" s="6" t="inlineStr">
        <is>
          <t>30%</t>
        </is>
      </c>
    </row>
    <row r="58">
      <c r="A58" s="21" t="inlineStr">
        <is>
          <t>Партнёры</t>
        </is>
      </c>
      <c r="B58" s="6" t="inlineStr">
        <is>
          <t>0</t>
        </is>
      </c>
      <c r="C58" s="6" t="inlineStr">
        <is>
          <t>1P + 1S</t>
        </is>
      </c>
      <c r="D58" s="6" t="inlineStr">
        <is>
          <t>1S + 1T</t>
        </is>
      </c>
    </row>
    <row r="59">
      <c r="A59" s="21" t="inlineStr">
        <is>
          <t>Доля FULL</t>
        </is>
      </c>
      <c r="B59" s="6" t="inlineStr">
        <is>
          <t>40%</t>
        </is>
      </c>
      <c r="C59" s="6" t="inlineStr">
        <is>
          <t>60%</t>
        </is>
      </c>
      <c r="D59" s="6" t="inlineStr">
        <is>
          <t>70%</t>
        </is>
      </c>
    </row>
    <row r="60">
      <c r="A60" s="21" t="inlineStr">
        <is>
          <t>Слоты Lightning</t>
        </is>
      </c>
      <c r="B60" s="6" t="n">
        <v>4</v>
      </c>
      <c r="C60" s="6" t="n">
        <v>8</v>
      </c>
      <c r="D60" s="6" t="n">
        <v>12</v>
      </c>
    </row>
    <row r="61">
      <c r="A61" s="21" t="inlineStr">
        <is>
          <t>Слоты Keynote</t>
        </is>
      </c>
      <c r="B61" s="6" t="n">
        <v>0</v>
      </c>
      <c r="C61" s="6" t="n">
        <v>1</v>
      </c>
      <c r="D61" s="6" t="n">
        <v>2</v>
      </c>
    </row>
    <row r="63">
      <c r="A63" s="21" t="inlineStr">
        <is>
          <t>Расходы</t>
        </is>
      </c>
      <c r="B63" s="8">
        <f>(((IF(40&lt;=60,18000*0.85,IF(40&lt;=85,18000,18000*1.15)))+5000+75*40*2+40*ROUND(40*0.4,0)+130*ROUND(40*0.4,0)+130*ROUND(40*0.4,0)+94*ROUND(40*0.4,0)+80*ROUND(40*0.4,0)+8000+8000+(IF(40&lt;=50,12000,IF(40&lt;=75,12000*1.2,12000*1.4)))+4000+7000+(4000*0.7+4000*0.3*40/70)+(IF(40&lt;=50,5000,5000*2))+1000+5000+8000+3500)+(IF('РАСХОДЫ'!$C$4="Да",0,((IF(40&lt;=60,18000*0.85,IF(40&lt;=85,18000,18000*1.15)))+5000+75*40*2+40*ROUND(40*0.4,0)+130*ROUND(40*0.4,0)+130*ROUND(40*0.4,0)+94*ROUND(40*0.4,0)+80*ROUND(40*0.4,0)+8000+8000+(IF(40&lt;=50,12000,IF(40&lt;=75,12000*1.2,12000*1.4)))+4000+7000+(4000*0.7+4000*0.3*40/70)+(IF(40&lt;=50,5000,5000*2))+1000+5000+8000+3500)*0.15))+(((IF(40&lt;=60,18000*0.85,IF(40&lt;=85,18000,18000*1.15)))+5000+75*40*2+40*ROUND(40*0.4,0)+130*ROUND(40*0.4,0)+130*ROUND(40*0.4,0)+94*ROUND(40*0.4,0)+80*ROUND(40*0.4,0)+8000+8000+(IF(40&lt;=50,12000,IF(40&lt;=75,12000*1.2,12000*1.4)))+4000+7000+(4000*0.7+4000*0.3*40/70)+(IF(40&lt;=50,5000,5000*2))+1000+5000+8000+3500)*0.12))+0.04*((ROUND(40*'ДОХОДЫ'!$C$2*(1-0.4),0))*(0.8*290+(1-0.8)*377)+(ROUND(40*'ДОХОДЫ'!$C$2*0.4,0))*(0.8*590+(1-0.8)*767)+(MAX(ROUND(40*(1-'ДОХОДЫ'!$C$2)*(1-0.4),0),0))*(0.8*490+(1-0.8)*637)+(MAX(ROUND(40*(1-'ДОХОДЫ'!$C$2)*0.4,0)-(0*2+0*4+0*6),0))*(0.8*890+(1-0.8)*1157)+4*500+0*1500+0*3000+0*8000+0*15000)</f>
        <v/>
      </c>
      <c r="C63" s="8">
        <f>(((IF(70&lt;=60,13000*0.85,IF(70&lt;=85,13000,13000*1.15)))+3500+55*70*2+30*ROUND(70*0.6,0)+90*ROUND(70*0.6,0)+90*ROUND(70*0.6,0)+75*ROUND(70*0.6,0)+60*ROUND(70*0.6,0)+5000+5000+(IF(70&lt;=50,8000,IF(70&lt;=75,8000*1.2,8000*1.4)))+2500+4000+(2500*0.7+2500*0.3*70/70)+(IF(70&lt;=50,3000,3000*2))+500+3000+5000+2000)+(IF('РАСХОДЫ'!$C$4="Да",0,((IF(70&lt;=60,13000*0.85,IF(70&lt;=85,13000,13000*1.15)))+3500+55*70*2+30*ROUND(70*0.6,0)+90*ROUND(70*0.6,0)+90*ROUND(70*0.6,0)+75*ROUND(70*0.6,0)+60*ROUND(70*0.6,0)+5000+5000+(IF(70&lt;=50,8000,IF(70&lt;=75,8000*1.2,8000*1.4)))+2500+4000+(2500*0.7+2500*0.3*70/70)+(IF(70&lt;=50,3000,3000*2))+500+3000+5000+2000)*0.15))+(((IF(70&lt;=60,13000*0.85,IF(70&lt;=85,13000,13000*1.15)))+3500+55*70*2+30*ROUND(70*0.6,0)+90*ROUND(70*0.6,0)+90*ROUND(70*0.6,0)+75*ROUND(70*0.6,0)+60*ROUND(70*0.6,0)+5000+5000+(IF(70&lt;=50,8000,IF(70&lt;=75,8000*1.2,8000*1.4)))+2500+4000+(2500*0.7+2500*0.3*70/70)+(IF(70&lt;=50,3000,3000*2))+500+3000+5000+2000)*0.1))+0.04*((ROUND(70*'ДОХОДЫ'!$C$2*(1-0.6),0))*(0.5*290+(1-0.5)*377)+(ROUND(70*'ДОХОДЫ'!$C$2*0.6,0))*(0.5*590+(1-0.5)*767)+(MAX(ROUND(70*(1-'ДОХОДЫ'!$C$2)*(1-0.6),0),0))*(0.5*490+(1-0.5)*637)+(MAX(ROUND(70*(1-'ДОХОДЫ'!$C$2)*0.6,0)-(1*2+1*4+0*6),0))*(0.5*890+(1-0.5)*1157)+8*500+1*1500+1*3000+1*8000+0*15000)</f>
        <v/>
      </c>
      <c r="D63" s="8">
        <f>(((IF(100&lt;=60,8000*0.85,IF(100&lt;=85,8000,8000*1.15)))+2000+35*100*2+20*ROUND(100*0.7,0)+60*ROUND(100*0.7,0)+60*ROUND(100*0.7,0)+53*ROUND(100*0.7,0)+40*ROUND(100*0.7,0)+2500+3000+(IF(100&lt;=50,5000,IF(100&lt;=75,5000*1.2,5000*1.4)))+1800+2000+(1500*0.7+1500*0.3*100/70)+(IF(100&lt;=50,1500,1500*2))+200+1500+3000+1000)+(IF('РАСХОДЫ'!$C$4="Да",0,((IF(100&lt;=60,8000*0.85,IF(100&lt;=85,8000,8000*1.15)))+2000+35*100*2+20*ROUND(100*0.7,0)+60*ROUND(100*0.7,0)+60*ROUND(100*0.7,0)+53*ROUND(100*0.7,0)+40*ROUND(100*0.7,0)+2500+3000+(IF(100&lt;=50,5000,IF(100&lt;=75,5000*1.2,5000*1.4)))+1800+2000+(1500*0.7+1500*0.3*100/70)+(IF(100&lt;=50,1500,1500*2))+200+1500+3000+1000)*0.15))+(((IF(100&lt;=60,8000*0.85,IF(100&lt;=85,8000,8000*1.15)))+2000+35*100*2+20*ROUND(100*0.7,0)+60*ROUND(100*0.7,0)+60*ROUND(100*0.7,0)+53*ROUND(100*0.7,0)+40*ROUND(100*0.7,0)+2500+3000+(IF(100&lt;=50,5000,IF(100&lt;=75,5000*1.2,5000*1.4)))+1800+2000+(1500*0.7+1500*0.3*100/70)+(IF(100&lt;=50,1500,1500*2))+200+1500+3000+1000)*0.08))+0.04*((ROUND(100*'ДОХОДЫ'!$C$2*(1-0.7),0))*(0.3*290+(1-0.3)*377)+(ROUND(100*'ДОХОДЫ'!$C$2*0.7,0))*(0.3*590+(1-0.3)*767)+(MAX(ROUND(100*(1-'ДОХОДЫ'!$C$2)*(1-0.7),0),0))*(0.3*490+(1-0.3)*637)+(MAX(ROUND(100*(1-'ДОХОДЫ'!$C$2)*0.7,0)-(0*2+1*4+1*6),0))*(0.3*890+(1-0.3)*1157)+12*500+2*1500+0*3000+1*8000+1*15000)</f>
        <v/>
      </c>
    </row>
    <row r="64">
      <c r="A64" s="21" t="inlineStr">
        <is>
          <t>Доходы</t>
        </is>
      </c>
      <c r="B64" s="8">
        <f>(ROUND(40*'ДОХОДЫ'!$C$2*(1-0.4),0))*(0.8*290+(1-0.8)*377)+(ROUND(40*'ДОХОДЫ'!$C$2*0.4,0))*(0.8*590+(1-0.8)*767)+(MAX(ROUND(40*(1-'ДОХОДЫ'!$C$2)*(1-0.4),0),0))*(0.8*490+(1-0.8)*637)+(MAX(ROUND(40*(1-'ДОХОДЫ'!$C$2)*0.4,0)-(0*2+0*4+0*6),0))*(0.8*890+(1-0.8)*1157)+4*500+0*1500+0*3000+0*8000+0*15000</f>
        <v/>
      </c>
      <c r="C64" s="8">
        <f>(ROUND(70*'ДОХОДЫ'!$C$2*(1-0.6),0))*(0.5*290+(1-0.5)*377)+(ROUND(70*'ДОХОДЫ'!$C$2*0.6,0))*(0.5*590+(1-0.5)*767)+(MAX(ROUND(70*(1-'ДОХОДЫ'!$C$2)*(1-0.6),0),0))*(0.5*490+(1-0.5)*637)+(MAX(ROUND(70*(1-'ДОХОДЫ'!$C$2)*0.6,0)-(1*2+1*4+0*6),0))*(0.5*890+(1-0.5)*1157)+8*500+1*1500+1*3000+1*8000+0*15000</f>
        <v/>
      </c>
      <c r="D64" s="8">
        <f>(ROUND(100*'ДОХОДЫ'!$C$2*(1-0.7),0))*(0.3*290+(1-0.3)*377)+(ROUND(100*'ДОХОДЫ'!$C$2*0.7,0))*(0.3*590+(1-0.3)*767)+(MAX(ROUND(100*(1-'ДОХОДЫ'!$C$2)*(1-0.7),0),0))*(0.3*490+(1-0.3)*637)+(MAX(ROUND(100*(1-'ДОХОДЫ'!$C$2)*0.7,0)-(0*2+1*4+1*6),0))*(0.3*890+(1-0.3)*1157)+12*500+2*1500+0*3000+1*8000+1*15000</f>
        <v/>
      </c>
    </row>
    <row r="65">
      <c r="A65" s="21" t="inlineStr">
        <is>
          <t>Результат</t>
        </is>
      </c>
      <c r="B65" s="34">
        <f>B64-B63</f>
        <v/>
      </c>
      <c r="C65" s="34">
        <f>C64-C63</f>
        <v/>
      </c>
      <c r="D65" s="34">
        <f>D64-D63</f>
        <v/>
      </c>
    </row>
    <row r="66">
      <c r="A66" s="21" t="inlineStr">
        <is>
          <t>Маржа</t>
        </is>
      </c>
      <c r="B66" s="30">
        <f>IF(B64=0,0,B65/B64)</f>
        <v/>
      </c>
      <c r="C66" s="30">
        <f>IF(C64=0,0,C65/C64)</f>
        <v/>
      </c>
      <c r="D66" s="30">
        <f>IF(D64=0,0,D65/D64)</f>
        <v/>
      </c>
    </row>
    <row r="69">
      <c r="A69" s="1" t="inlineStr">
        <is>
          <t>ИНВЕСТИЦИОННАЯ СВОДКА (Risk/Reward)</t>
        </is>
      </c>
      <c r="B69" s="1" t="n"/>
      <c r="C69" s="1" t="n"/>
      <c r="D69" s="1" t="n"/>
    </row>
    <row r="71">
      <c r="A71" s="24" t="inlineStr">
        <is>
          <t>Maximum downside (пессимист)</t>
        </is>
      </c>
      <c r="B71" s="35">
        <f>B65</f>
        <v/>
      </c>
    </row>
    <row r="72">
      <c r="A72" s="24" t="inlineStr">
        <is>
          <t>Базовый результат</t>
        </is>
      </c>
      <c r="B72" s="36">
        <f>C65</f>
        <v/>
      </c>
    </row>
    <row r="73">
      <c r="A73" s="24" t="inlineStr">
        <is>
          <t>Base case маржа</t>
        </is>
      </c>
      <c r="B73" s="27">
        <f>C66</f>
        <v/>
      </c>
    </row>
    <row r="74">
      <c r="A74" s="24" t="inlineStr">
        <is>
          <t>Upside маржа (оптимист)</t>
        </is>
      </c>
      <c r="B74" s="27">
        <f>D66</f>
        <v/>
      </c>
    </row>
    <row r="76">
      <c r="A76" s="24" t="inlineStr">
        <is>
          <t>Доля дохода от партнёров (базовый)</t>
        </is>
      </c>
      <c r="B76" s="27">
        <f>IF(C64=0,0,(1*3000+1*8000+0*15000)/C64)</f>
        <v/>
      </c>
    </row>
    <row r="77">
      <c r="A77" s="24" t="inlineStr">
        <is>
          <t>Доля дохода от билетов (базовый)</t>
        </is>
      </c>
      <c r="B77" s="27">
        <f>1-B76</f>
        <v/>
      </c>
    </row>
    <row r="79">
      <c r="A79" s="24" t="inlineStr">
        <is>
          <t>Break-even без партнёров (0 партн., Mid)</t>
        </is>
      </c>
      <c r="B79" s="17" t="inlineStr">
        <is>
          <t>См. столбец «0 партн.» в матрице выше</t>
        </is>
      </c>
    </row>
  </sheetData>
  <conditionalFormatting sqref="D12:D26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31:F38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43:E50">
    <cfRule type="cellIs" priority="5" operator="greaterThanOrEqual" dxfId="0">
      <formula>0</formula>
    </cfRule>
    <cfRule type="cellIs" priority="6" operator="lessThan" dxfId="1">
      <formula>0</formula>
    </cfRule>
  </conditionalFormatting>
  <conditionalFormatting sqref="B65:D65">
    <cfRule type="cellIs" priority="7" operator="greaterThanOrEqual" dxfId="0">
      <formula>0</formula>
    </cfRule>
    <cfRule type="cellIs" priority="8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2026-02-21T11:29:46Z</dcterms:created>
  <dcterms:modified xmlns:dcterms="http://purl.org/dc/terms/" xmlns:xsi="http://www.w3.org/2001/XMLSchema-instance" xsi:type="dcterms:W3CDTF">2026-02-21T11:29:46Z</dcterms:modified>
</cp:coreProperties>
</file>